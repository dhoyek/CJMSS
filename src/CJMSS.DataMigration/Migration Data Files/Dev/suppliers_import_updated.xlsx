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65" documentId="11_154BAFED2B1CBE1AEE6E9B2084048C8141B4D473" xr6:coauthVersionLast="47" xr6:coauthVersionMax="47" xr10:uidLastSave="{A38C4FAF-F2B9-4625-BFDB-156A511A9D1B}"/>
  <bookViews>
    <workbookView xWindow="-110" yWindow="-110" windowWidth="25820" windowHeight="15500" xr2:uid="{00000000-000D-0000-FFFF-FFFF00000000}"/>
  </bookViews>
  <sheets>
    <sheet name="Suppliers" sheetId="1" r:id="rId1"/>
    <sheet name="Zones" sheetId="2" r:id="rId2"/>
    <sheet name="SuppliersCateg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7" i="1" l="1"/>
  <c r="F224" i="1"/>
  <c r="F191" i="1"/>
  <c r="F77" i="1"/>
  <c r="F247" i="1"/>
  <c r="F88" i="1"/>
  <c r="F254" i="1"/>
  <c r="F105" i="1"/>
  <c r="F161" i="1"/>
  <c r="F268" i="1"/>
  <c r="F195" i="1"/>
  <c r="F182" i="1"/>
  <c r="F235" i="1"/>
  <c r="F291" i="1"/>
  <c r="F229" i="1"/>
  <c r="F51" i="1"/>
  <c r="F244" i="1"/>
  <c r="F228" i="1"/>
  <c r="F90" i="1"/>
  <c r="F173" i="1"/>
  <c r="F49" i="1"/>
  <c r="F58" i="1"/>
  <c r="F279" i="1"/>
  <c r="F65" i="1"/>
  <c r="F71" i="1"/>
  <c r="F215" i="1"/>
  <c r="F250" i="1"/>
  <c r="F119" i="1"/>
  <c r="F288" i="1"/>
  <c r="F189" i="1"/>
  <c r="F232" i="1"/>
  <c r="F171" i="1"/>
  <c r="F67" i="1"/>
  <c r="F267" i="1"/>
  <c r="F212" i="1"/>
  <c r="F85" i="1"/>
  <c r="F164" i="1"/>
  <c r="F276" i="1"/>
  <c r="F121" i="1"/>
  <c r="F25" i="1"/>
  <c r="F128" i="1"/>
  <c r="F302" i="1"/>
  <c r="F185" i="1"/>
  <c r="F143" i="1"/>
  <c r="F274" i="1"/>
  <c r="F183" i="1"/>
  <c r="F152" i="1"/>
  <c r="F308" i="1"/>
  <c r="F251" i="1"/>
  <c r="F17" i="1"/>
  <c r="F91" i="1"/>
  <c r="F262" i="1"/>
  <c r="F122" i="1"/>
  <c r="F253" i="1"/>
  <c r="F269" i="1"/>
  <c r="F277" i="1"/>
  <c r="F60" i="1"/>
  <c r="F230" i="1"/>
  <c r="F4" i="1"/>
  <c r="F153" i="1"/>
  <c r="F137" i="1"/>
  <c r="F144" i="1"/>
  <c r="F162" i="1"/>
  <c r="F289" i="1"/>
  <c r="F281" i="1"/>
  <c r="F82" i="1"/>
  <c r="F70" i="1"/>
  <c r="F198" i="1"/>
  <c r="F102" i="1"/>
  <c r="F238" i="1"/>
  <c r="F272" i="1"/>
  <c r="F19" i="1"/>
  <c r="F263" i="1"/>
  <c r="F167" i="1"/>
  <c r="F32" i="1"/>
  <c r="F140" i="1"/>
  <c r="F74" i="1"/>
  <c r="F50" i="1"/>
  <c r="F150" i="1"/>
  <c r="F273" i="1"/>
  <c r="F257" i="1"/>
  <c r="F107" i="1"/>
  <c r="F221" i="1"/>
  <c r="F213" i="1"/>
  <c r="F284" i="1"/>
  <c r="F223" i="1"/>
  <c r="F130" i="1"/>
  <c r="F134" i="1"/>
  <c r="F114" i="1"/>
  <c r="F22" i="1"/>
  <c r="F285" i="1"/>
  <c r="F6" i="1"/>
  <c r="F169" i="1"/>
  <c r="F204" i="1"/>
  <c r="F265" i="1"/>
  <c r="F30" i="1"/>
  <c r="F199" i="1"/>
  <c r="F36" i="1"/>
  <c r="F54" i="1"/>
  <c r="F248" i="1"/>
  <c r="F136" i="1"/>
  <c r="F201" i="1"/>
  <c r="F110" i="1"/>
  <c r="F186" i="1"/>
  <c r="F172" i="1"/>
  <c r="F41" i="1"/>
  <c r="F135" i="1"/>
  <c r="F125" i="1"/>
  <c r="F69" i="1"/>
  <c r="F40" i="1"/>
  <c r="F21" i="1"/>
  <c r="F163" i="1"/>
  <c r="F62" i="1"/>
  <c r="F63" i="1"/>
  <c r="F170" i="1"/>
  <c r="F108" i="1"/>
  <c r="F261" i="1"/>
  <c r="F271" i="1"/>
  <c r="F270" i="1"/>
  <c r="F89" i="1"/>
  <c r="F159" i="1"/>
  <c r="F233" i="1"/>
  <c r="F57" i="1"/>
  <c r="F165" i="1"/>
  <c r="F8" i="1"/>
  <c r="F241" i="1"/>
  <c r="F174" i="1"/>
  <c r="F127" i="1"/>
  <c r="F158" i="1"/>
  <c r="F141" i="1"/>
  <c r="F23" i="1"/>
  <c r="F104" i="1"/>
  <c r="F220" i="1"/>
  <c r="F179" i="1"/>
  <c r="F205" i="1"/>
  <c r="F237" i="1"/>
  <c r="F37" i="1"/>
  <c r="F176" i="1"/>
  <c r="F203" i="1"/>
  <c r="F290" i="1"/>
  <c r="F52" i="1"/>
  <c r="F299" i="1"/>
  <c r="F5" i="1"/>
  <c r="F28" i="1"/>
  <c r="F79" i="1"/>
  <c r="F18" i="1"/>
  <c r="F300" i="1"/>
  <c r="F286" i="1"/>
  <c r="F256" i="1"/>
  <c r="F211" i="1"/>
  <c r="F92" i="1"/>
  <c r="F73" i="1"/>
  <c r="F26" i="1"/>
  <c r="F282" i="1"/>
  <c r="F24" i="1"/>
  <c r="F192" i="1"/>
  <c r="F98" i="1"/>
  <c r="F258" i="1"/>
  <c r="F83" i="1"/>
  <c r="F133" i="1"/>
  <c r="F309" i="1"/>
  <c r="F132" i="1"/>
  <c r="F151" i="1"/>
  <c r="F95" i="1"/>
  <c r="F2" i="1"/>
  <c r="F206" i="1"/>
  <c r="F14" i="1"/>
  <c r="F210" i="1"/>
  <c r="F255" i="1"/>
  <c r="F124" i="1"/>
  <c r="F87" i="1"/>
  <c r="F296" i="1"/>
  <c r="F193" i="1"/>
  <c r="F180" i="1"/>
  <c r="F11" i="1"/>
  <c r="F187" i="1"/>
  <c r="F31" i="1"/>
  <c r="F166" i="1"/>
  <c r="F303" i="1"/>
  <c r="F7" i="1"/>
  <c r="F207" i="1"/>
  <c r="F113" i="1"/>
  <c r="F76" i="1"/>
  <c r="F145" i="1"/>
  <c r="F196" i="1"/>
  <c r="F194" i="1"/>
  <c r="F35" i="1"/>
  <c r="F59" i="1"/>
  <c r="F34" i="1"/>
  <c r="F44" i="1"/>
  <c r="F156" i="1"/>
  <c r="F236" i="1"/>
  <c r="F106" i="1"/>
  <c r="F147" i="1"/>
  <c r="F219" i="1"/>
  <c r="F16" i="1"/>
  <c r="F217" i="1"/>
  <c r="F142" i="1"/>
  <c r="F101" i="1"/>
  <c r="F115" i="1"/>
  <c r="F188" i="1"/>
  <c r="F81" i="1"/>
  <c r="F190" i="1"/>
  <c r="F184" i="1"/>
  <c r="F99" i="1"/>
  <c r="F126" i="1"/>
  <c r="F116" i="1"/>
  <c r="F64" i="1"/>
  <c r="F175" i="1"/>
  <c r="F75" i="1"/>
  <c r="F68" i="1"/>
  <c r="F123" i="1"/>
  <c r="F100" i="1"/>
  <c r="F20" i="1"/>
  <c r="F118" i="1"/>
  <c r="F226" i="1"/>
  <c r="F94" i="1"/>
  <c r="F239" i="1"/>
  <c r="F155" i="1"/>
  <c r="F208" i="1"/>
  <c r="F202" i="1"/>
  <c r="F3" i="1"/>
  <c r="F243" i="1"/>
  <c r="F304" i="1"/>
  <c r="F177" i="1"/>
  <c r="F294" i="1"/>
  <c r="F61" i="1"/>
  <c r="F27" i="1"/>
  <c r="F29" i="1"/>
  <c r="F10" i="1"/>
  <c r="F131" i="1"/>
  <c r="F149" i="1"/>
  <c r="F252" i="1"/>
  <c r="F112" i="1"/>
  <c r="F231" i="1"/>
  <c r="F120" i="1"/>
  <c r="F295" i="1"/>
  <c r="F38" i="1"/>
  <c r="F154" i="1"/>
  <c r="F13" i="1"/>
  <c r="F80" i="1"/>
  <c r="F292" i="1"/>
  <c r="F72" i="1"/>
  <c r="F39" i="1"/>
  <c r="F307" i="1"/>
  <c r="F306" i="1"/>
  <c r="F47" i="1"/>
  <c r="F298" i="1"/>
  <c r="F46" i="1"/>
  <c r="F93" i="1"/>
  <c r="F218" i="1"/>
  <c r="F178" i="1"/>
  <c r="F45" i="1"/>
  <c r="F283" i="1"/>
  <c r="F117" i="1"/>
  <c r="F264" i="1"/>
  <c r="F216" i="1"/>
  <c r="F234" i="1"/>
  <c r="F148" i="1"/>
  <c r="F33" i="1"/>
  <c r="F42" i="1"/>
  <c r="F301" i="1"/>
  <c r="F109" i="1"/>
  <c r="F84" i="1"/>
  <c r="F66" i="1"/>
  <c r="F209" i="1"/>
  <c r="F111" i="1"/>
  <c r="F97" i="1"/>
  <c r="F246" i="1"/>
  <c r="F278" i="1"/>
  <c r="F138" i="1"/>
  <c r="F305" i="1"/>
  <c r="F96" i="1"/>
  <c r="F48" i="1"/>
  <c r="F260" i="1"/>
  <c r="F227" i="1"/>
  <c r="F214" i="1"/>
  <c r="F9" i="1"/>
  <c r="F200" i="1"/>
  <c r="F280" i="1"/>
  <c r="F15" i="1"/>
  <c r="F197" i="1"/>
  <c r="F275" i="1"/>
  <c r="F129" i="1"/>
  <c r="F78" i="1"/>
  <c r="F86" i="1"/>
  <c r="F245" i="1"/>
  <c r="F139" i="1"/>
  <c r="F266" i="1"/>
  <c r="F56" i="1"/>
  <c r="F43" i="1"/>
  <c r="F259" i="1"/>
  <c r="F53" i="1"/>
  <c r="F222" i="1"/>
  <c r="F242" i="1"/>
  <c r="F103" i="1"/>
  <c r="F249" i="1"/>
  <c r="F12" i="1"/>
  <c r="F55" i="1"/>
  <c r="F157" i="1"/>
  <c r="F146" i="1"/>
  <c r="F160" i="1"/>
  <c r="F293" i="1"/>
  <c r="F181" i="1"/>
  <c r="F168" i="1"/>
  <c r="F287" i="1"/>
  <c r="F225" i="1"/>
  <c r="F240" i="1"/>
</calcChain>
</file>

<file path=xl/sharedStrings.xml><?xml version="1.0" encoding="utf-8"?>
<sst xmlns="http://schemas.openxmlformats.org/spreadsheetml/2006/main" count="2180" uniqueCount="1037">
  <si>
    <t>pdg_legacyid</t>
  </si>
  <si>
    <t>name</t>
  </si>
  <si>
    <t>pdg_categorycode</t>
  </si>
  <si>
    <t>pdg_categoryname</t>
  </si>
  <si>
    <t>pdg_zonecode</t>
  </si>
  <si>
    <t>pdg_zonename</t>
  </si>
  <si>
    <t>address1_line1</t>
  </si>
  <si>
    <t>address1_line2</t>
  </si>
  <si>
    <t>telephone1</t>
  </si>
  <si>
    <t>telephone2</t>
  </si>
  <si>
    <t>fax</t>
  </si>
  <si>
    <t>pdg_creditdays</t>
  </si>
  <si>
    <t>contact_name</t>
  </si>
  <si>
    <t>statecode</t>
  </si>
  <si>
    <t>statuscode</t>
  </si>
  <si>
    <t>1</t>
  </si>
  <si>
    <t>MDI</t>
  </si>
  <si>
    <t>F.S</t>
  </si>
  <si>
    <t>Foreign Supplier</t>
  </si>
  <si>
    <t>201</t>
  </si>
  <si>
    <t>FRIBOURG</t>
  </si>
  <si>
    <t>2</t>
  </si>
  <si>
    <t>MISCELLANIOUS</t>
  </si>
  <si>
    <t>MISC</t>
  </si>
  <si>
    <t>Miscellaneous</t>
  </si>
  <si>
    <t>3</t>
  </si>
  <si>
    <t>AL - JAWAHER</t>
  </si>
  <si>
    <t>L.S</t>
  </si>
  <si>
    <t>Local Supplier</t>
  </si>
  <si>
    <t>4</t>
  </si>
  <si>
    <t>ARTS ET METIER DE LA JOAILLERI</t>
  </si>
  <si>
    <t>301</t>
  </si>
  <si>
    <t>MONACO</t>
  </si>
  <si>
    <t>5</t>
  </si>
  <si>
    <t>METIERS D'ART</t>
  </si>
  <si>
    <t>101</t>
  </si>
  <si>
    <t>KARANTAINE</t>
  </si>
  <si>
    <t>6</t>
  </si>
  <si>
    <t>TRAGEM</t>
  </si>
  <si>
    <t>202</t>
  </si>
  <si>
    <t>7</t>
  </si>
  <si>
    <t>DIAMOREX</t>
  </si>
  <si>
    <t>BOURJ HAMOUD</t>
  </si>
  <si>
    <t>8</t>
  </si>
  <si>
    <t>CAMILLE FOURNET</t>
  </si>
  <si>
    <t>302</t>
  </si>
  <si>
    <t>4 RUE REAUMUR</t>
  </si>
  <si>
    <t>0148873084</t>
  </si>
  <si>
    <t>9</t>
  </si>
  <si>
    <t>LES ATELIERS F.BAOUR</t>
  </si>
  <si>
    <t>13 BIS RUEst paul CASE POSTALE 52</t>
  </si>
  <si>
    <t>CH-1705 FRIBOURG</t>
  </si>
  <si>
    <t>037225869</t>
  </si>
  <si>
    <t>037220709</t>
  </si>
  <si>
    <t>10</t>
  </si>
  <si>
    <t>PRIVATE LABEL DEVELOPMENT  PLD</t>
  </si>
  <si>
    <t>CHEMIN FANTAISIE 2 CH 2300 LES CHAUX DES</t>
  </si>
  <si>
    <t>FONDS</t>
  </si>
  <si>
    <t>039223159</t>
  </si>
  <si>
    <t>039223160</t>
  </si>
  <si>
    <t>11</t>
  </si>
  <si>
    <t>MECATTAF</t>
  </si>
  <si>
    <t>DEBAYEH</t>
  </si>
  <si>
    <t>MR. RAMEZ</t>
  </si>
  <si>
    <t>12</t>
  </si>
  <si>
    <t>CLAL</t>
  </si>
  <si>
    <t>13</t>
  </si>
  <si>
    <t>GUSTAV CEASER</t>
  </si>
  <si>
    <t>14</t>
  </si>
  <si>
    <t>ROGER BOGHOSSIAN</t>
  </si>
  <si>
    <t>15</t>
  </si>
  <si>
    <t>BARSAMIAN</t>
  </si>
  <si>
    <t>16</t>
  </si>
  <si>
    <t>HASSANA MANSOUR</t>
  </si>
  <si>
    <t>17</t>
  </si>
  <si>
    <t>RIMA GHANDOUR</t>
  </si>
  <si>
    <t>18</t>
  </si>
  <si>
    <t>DAVOYAN</t>
  </si>
  <si>
    <t>399 DAVOYAN BLDG, FANAR,</t>
  </si>
  <si>
    <t>BEIRUT, LEBANON.</t>
  </si>
  <si>
    <t>01881881</t>
  </si>
  <si>
    <t>01892217</t>
  </si>
  <si>
    <t>19</t>
  </si>
  <si>
    <t>ELIE NADER</t>
  </si>
  <si>
    <t>20</t>
  </si>
  <si>
    <t>GEORGES HAKIM</t>
  </si>
  <si>
    <t>21</t>
  </si>
  <si>
    <t>HAROUT MISSIRIAN</t>
  </si>
  <si>
    <t>22</t>
  </si>
  <si>
    <t>HAFNER</t>
  </si>
  <si>
    <t>23</t>
  </si>
  <si>
    <t>NABIL TABBAH</t>
  </si>
  <si>
    <t>24</t>
  </si>
  <si>
    <t>JONES JEWELS</t>
  </si>
  <si>
    <t>146 DAWSON STREET</t>
  </si>
  <si>
    <t>COLOMBO 2</t>
  </si>
  <si>
    <t>25</t>
  </si>
  <si>
    <t>GHORRA GEMS LTDA</t>
  </si>
  <si>
    <t>26</t>
  </si>
  <si>
    <t>MICHEL SALIBA</t>
  </si>
  <si>
    <t>27</t>
  </si>
  <si>
    <t>ALAIN BOITE</t>
  </si>
  <si>
    <t>2 RUE PIERRE SEMARD/75009 PARIS</t>
  </si>
  <si>
    <t>33014281010</t>
  </si>
  <si>
    <t>33014596024</t>
  </si>
  <si>
    <t>28</t>
  </si>
  <si>
    <t>PREMIER GEMS TRADING CO.,LTD</t>
  </si>
  <si>
    <t>1003-1005 SILOM RD.BANGRAK-BANGKOK /</t>
  </si>
  <si>
    <t>10500 THAILAND</t>
  </si>
  <si>
    <t>2360292</t>
  </si>
  <si>
    <t>2361099</t>
  </si>
  <si>
    <t>6622376452</t>
  </si>
  <si>
    <t>29</t>
  </si>
  <si>
    <t>FLORIAN FAVRE</t>
  </si>
  <si>
    <t>30</t>
  </si>
  <si>
    <t>ZOUHAIR ISTAMBOULY</t>
  </si>
  <si>
    <t>31</t>
  </si>
  <si>
    <t>ANTOINE HAKIM</t>
  </si>
  <si>
    <t>DORA</t>
  </si>
  <si>
    <t>32</t>
  </si>
  <si>
    <t>NABIL BOGHOS</t>
  </si>
  <si>
    <t>33</t>
  </si>
  <si>
    <t>KOHINOOR</t>
  </si>
  <si>
    <t>34</t>
  </si>
  <si>
    <t>ELIE NAMDAR</t>
  </si>
  <si>
    <t>35</t>
  </si>
  <si>
    <t>PIERRE MOUZANNAR</t>
  </si>
  <si>
    <t>01200106</t>
  </si>
  <si>
    <t>01339830</t>
  </si>
  <si>
    <t>36</t>
  </si>
  <si>
    <t>A. DARIOTTI S.A.</t>
  </si>
  <si>
    <t>VIA S. GIORGIO 35 CH-6877COLDRERIO/</t>
  </si>
  <si>
    <t>SWITZERLAND</t>
  </si>
  <si>
    <t>091646747142</t>
  </si>
  <si>
    <t>0916463609</t>
  </si>
  <si>
    <t>37</t>
  </si>
  <si>
    <t>JEAN BOGHOSSIAN/B.V.B.A.</t>
  </si>
  <si>
    <t>PELIKAANSTRAAT</t>
  </si>
  <si>
    <t>2342970</t>
  </si>
  <si>
    <t>2329808</t>
  </si>
  <si>
    <t>38</t>
  </si>
  <si>
    <t>WALID DAOUK</t>
  </si>
  <si>
    <t>39</t>
  </si>
  <si>
    <t>RACHBROS DIAMOND CO B.V.B.A.</t>
  </si>
  <si>
    <t>SCHUPSTRAAT 1-7</t>
  </si>
  <si>
    <t>2018 ANTWERP</t>
  </si>
  <si>
    <t>2251115</t>
  </si>
  <si>
    <t>40</t>
  </si>
  <si>
    <t>TONY ABBAS</t>
  </si>
  <si>
    <t>ZALKA</t>
  </si>
  <si>
    <t>03291126</t>
  </si>
  <si>
    <t>41</t>
  </si>
  <si>
    <t>SHU-LIN TRADING , LTD.</t>
  </si>
  <si>
    <t>42</t>
  </si>
  <si>
    <t>ALEXI ISKENDARIAN</t>
  </si>
  <si>
    <t>43</t>
  </si>
  <si>
    <t>HADIDIAN</t>
  </si>
  <si>
    <t>44</t>
  </si>
  <si>
    <t>WILLIAM GOLDBERG DIAMOND CORP.</t>
  </si>
  <si>
    <t>1201</t>
  </si>
  <si>
    <t>589 FIFTH AVENUE. NEW YORK NW 10017</t>
  </si>
  <si>
    <t>2129804343</t>
  </si>
  <si>
    <t>2129806120</t>
  </si>
  <si>
    <t>45</t>
  </si>
  <si>
    <t>BOGHOS SAL</t>
  </si>
  <si>
    <t>DORA HIGHWAY - AYA CENTER</t>
  </si>
  <si>
    <t>BOURJ HAMMOUD - ARMENIA STR. 01 258 800</t>
  </si>
  <si>
    <t>0124772123</t>
  </si>
  <si>
    <t>46</t>
  </si>
  <si>
    <t>DARIOTTI S.A.</t>
  </si>
  <si>
    <t>VIA S. GIORGIO 35 CH-6877 COLDRERIO</t>
  </si>
  <si>
    <t>0916467471</t>
  </si>
  <si>
    <t>47</t>
  </si>
  <si>
    <t>RANIA SALEH</t>
  </si>
  <si>
    <t>03377243</t>
  </si>
  <si>
    <t>48</t>
  </si>
  <si>
    <t>DESIGNER LINE</t>
  </si>
  <si>
    <t>49</t>
  </si>
  <si>
    <t>ALLGEMEINE GOLD-UND SILBERSCEI</t>
  </si>
  <si>
    <t>POSTFACH 100140-75101 PFORZHEIM</t>
  </si>
  <si>
    <t>50</t>
  </si>
  <si>
    <t>LOUIS GLICK &amp; COMPANY</t>
  </si>
  <si>
    <t>1271 AVE OF THE AMERICAS/NEW YORK</t>
  </si>
  <si>
    <t>NY 10020</t>
  </si>
  <si>
    <t>2122590300</t>
  </si>
  <si>
    <t>2124898178</t>
  </si>
  <si>
    <t>51</t>
  </si>
  <si>
    <t>FICALBI &amp; LITTA</t>
  </si>
  <si>
    <t>15048 VALENZA (AL) ITALY VIALE VICENZA,4</t>
  </si>
  <si>
    <t>+39131943198</t>
  </si>
  <si>
    <t>+39131945685</t>
  </si>
  <si>
    <t>52</t>
  </si>
  <si>
    <t>MARIO DI-MAIO</t>
  </si>
  <si>
    <t>53</t>
  </si>
  <si>
    <t>WADIH BEJJANI</t>
  </si>
  <si>
    <t>09216885</t>
  </si>
  <si>
    <t>54</t>
  </si>
  <si>
    <t>SOUTH SEA PEARL DISTRIBUT. S.A</t>
  </si>
  <si>
    <t>CORSO SAN GOTTARDO 25</t>
  </si>
  <si>
    <t>6830 CHIASSO - SWITZERLAND</t>
  </si>
  <si>
    <t>41916829883</t>
  </si>
  <si>
    <t>41916830944</t>
  </si>
  <si>
    <t>55</t>
  </si>
  <si>
    <t>HORIZON METALS DIVISION.</t>
  </si>
  <si>
    <t>3925 NORTH PULASKI ROAD CHICAGO,ILLINOIS</t>
  </si>
  <si>
    <t>60641</t>
  </si>
  <si>
    <t>7734788888</t>
  </si>
  <si>
    <t>7734788378</t>
  </si>
  <si>
    <t>56</t>
  </si>
  <si>
    <t>DE GRISOGONO</t>
  </si>
  <si>
    <t>57</t>
  </si>
  <si>
    <t>FARAH</t>
  </si>
  <si>
    <t>BOURJ HAMMOUD</t>
  </si>
  <si>
    <t>HARBOYAN TRADE CENTER</t>
  </si>
  <si>
    <t>03361525</t>
  </si>
  <si>
    <t>58</t>
  </si>
  <si>
    <t>SAGATRUST DIAMOND CORPORATION.</t>
  </si>
  <si>
    <t>59</t>
  </si>
  <si>
    <t>GIORDANO FRANCESCO e C.SNC</t>
  </si>
  <si>
    <t>VALENZA</t>
  </si>
  <si>
    <t>0131951362</t>
  </si>
  <si>
    <t>60</t>
  </si>
  <si>
    <t>CHAFIC E. ABI JAOUDE</t>
  </si>
  <si>
    <t>DORA SQUARE -SOLEMUR BLDG. 34</t>
  </si>
  <si>
    <t>01268255</t>
  </si>
  <si>
    <t>01262969</t>
  </si>
  <si>
    <t>61</t>
  </si>
  <si>
    <t>AMER RADWAN</t>
  </si>
  <si>
    <t>62</t>
  </si>
  <si>
    <t>DIAGEM S.A.R.L.</t>
  </si>
  <si>
    <t>SIN EL-FIL  DANAY CENTER</t>
  </si>
  <si>
    <t>510142</t>
  </si>
  <si>
    <t>510143</t>
  </si>
  <si>
    <t>63</t>
  </si>
  <si>
    <t>HRATCH KESSMEYAN</t>
  </si>
  <si>
    <t>01266626</t>
  </si>
  <si>
    <t>64</t>
  </si>
  <si>
    <t>HOROVITZ &amp;TOTAH SA.</t>
  </si>
  <si>
    <t>65</t>
  </si>
  <si>
    <t>EUROSTAR DIAMOND TRADERS N.V.</t>
  </si>
  <si>
    <t>66</t>
  </si>
  <si>
    <t>FELIX FREIHA</t>
  </si>
  <si>
    <t>03786370</t>
  </si>
  <si>
    <t>67</t>
  </si>
  <si>
    <t>CREATION-BOX SCHOPFER SA</t>
  </si>
  <si>
    <t>SUISSE</t>
  </si>
  <si>
    <t>0328534858</t>
  </si>
  <si>
    <t>68</t>
  </si>
  <si>
    <t>TECNOVAL S.N.C.</t>
  </si>
  <si>
    <t>69</t>
  </si>
  <si>
    <t>CHARBEL HAMAOUI</t>
  </si>
  <si>
    <t>70</t>
  </si>
  <si>
    <t>SINGHVI GEMS &amp; JPS</t>
  </si>
  <si>
    <t>DEDEYAN CENTER, 6th FLOOR No.70,</t>
  </si>
  <si>
    <t>DORA, BEIRUT, LEBANON.</t>
  </si>
  <si>
    <t>01259766</t>
  </si>
  <si>
    <t>01247684</t>
  </si>
  <si>
    <t>71</t>
  </si>
  <si>
    <t>BASSAM GHRAOUI</t>
  </si>
  <si>
    <t>72</t>
  </si>
  <si>
    <t>SYMA DEBBANE</t>
  </si>
  <si>
    <t>73</t>
  </si>
  <si>
    <t>ELHAM FREIHA</t>
  </si>
  <si>
    <t>74</t>
  </si>
  <si>
    <t>MAHARAJA GEMS</t>
  </si>
  <si>
    <t>2001</t>
  </si>
  <si>
    <t>DUBAI</t>
  </si>
  <si>
    <t>0506448510</t>
  </si>
  <si>
    <t>2250544</t>
  </si>
  <si>
    <t>75</t>
  </si>
  <si>
    <t>SABINE MAZLOUM</t>
  </si>
  <si>
    <t>01327376</t>
  </si>
  <si>
    <t>03697003</t>
  </si>
  <si>
    <t>76</t>
  </si>
  <si>
    <t>GEM STONES OF THE WORLD</t>
  </si>
  <si>
    <t>77</t>
  </si>
  <si>
    <t>GEORGI SABOUNJIAN S.A.R.L.</t>
  </si>
  <si>
    <t>ANTELIAS</t>
  </si>
  <si>
    <t>04711117</t>
  </si>
  <si>
    <t>04711118</t>
  </si>
  <si>
    <t>78</t>
  </si>
  <si>
    <t>LMS S.a.r.l.</t>
  </si>
  <si>
    <t>GRAND-CHENE 6/1003</t>
  </si>
  <si>
    <t>LAUSANNE-SWITZERLAND.</t>
  </si>
  <si>
    <t>0213111151</t>
  </si>
  <si>
    <t>0213111152</t>
  </si>
  <si>
    <t>79</t>
  </si>
  <si>
    <t>ZIAD FRENN</t>
  </si>
  <si>
    <t>P.O. BOX 11-5544 BEIRUT.</t>
  </si>
  <si>
    <t>03774111</t>
  </si>
  <si>
    <t>80</t>
  </si>
  <si>
    <t>EL-ACHKAR SOURAYA</t>
  </si>
  <si>
    <t>81</t>
  </si>
  <si>
    <t>LE COLLIER</t>
  </si>
  <si>
    <t>35514</t>
  </si>
  <si>
    <t>31522</t>
  </si>
  <si>
    <t>35610</t>
  </si>
  <si>
    <t>82</t>
  </si>
  <si>
    <t>ANTOINE TOUFIC ABDEL-WAHED.</t>
  </si>
  <si>
    <t>01582466</t>
  </si>
  <si>
    <t>04871255</t>
  </si>
  <si>
    <t>83</t>
  </si>
  <si>
    <t>RIMA KASSIS</t>
  </si>
  <si>
    <t>84</t>
  </si>
  <si>
    <t>ZAHLAN</t>
  </si>
  <si>
    <t>85</t>
  </si>
  <si>
    <t>RAFIC FATTAL</t>
  </si>
  <si>
    <t>ACHRAFIEH SAIDE</t>
  </si>
  <si>
    <t>01330815</t>
  </si>
  <si>
    <t>86</t>
  </si>
  <si>
    <t>RIAD SALHAB</t>
  </si>
  <si>
    <t>87</t>
  </si>
  <si>
    <t>MICHEL ABBOUD</t>
  </si>
  <si>
    <t>03883736</t>
  </si>
  <si>
    <t>88</t>
  </si>
  <si>
    <t>A.B.G. SARL.</t>
  </si>
  <si>
    <t>01246255</t>
  </si>
  <si>
    <t>01246256</t>
  </si>
  <si>
    <t>89</t>
  </si>
  <si>
    <t>ROSE TABBAH</t>
  </si>
  <si>
    <t>90</t>
  </si>
  <si>
    <t>LINDA KASSIS</t>
  </si>
  <si>
    <t>91</t>
  </si>
  <si>
    <t>SAMI SFEIR</t>
  </si>
  <si>
    <t>92</t>
  </si>
  <si>
    <t>CLAUDE SFEIR</t>
  </si>
  <si>
    <t>93</t>
  </si>
  <si>
    <t>MIRNA GHAIS</t>
  </si>
  <si>
    <t>94</t>
  </si>
  <si>
    <t>RADWAN DIAMOND&amp;JEWELLERY TRD.</t>
  </si>
  <si>
    <t>95</t>
  </si>
  <si>
    <t>SIRINE ABOU GHAZALEH</t>
  </si>
  <si>
    <t>96</t>
  </si>
  <si>
    <t>ROBERTO BOGHOSSIAN</t>
  </si>
  <si>
    <t>97</t>
  </si>
  <si>
    <t>RMC GEMS THAI CO.,LTD.</t>
  </si>
  <si>
    <t>98</t>
  </si>
  <si>
    <t>DANIA ARAYSSI</t>
  </si>
  <si>
    <t>99</t>
  </si>
  <si>
    <t>MAY MIKATI</t>
  </si>
  <si>
    <t>100</t>
  </si>
  <si>
    <t>DIMA ISSA</t>
  </si>
  <si>
    <t>03555663</t>
  </si>
  <si>
    <t>LINA AL-ASSAAD</t>
  </si>
  <si>
    <t>102</t>
  </si>
  <si>
    <t>GHIDA HARIRI</t>
  </si>
  <si>
    <t>03318889</t>
  </si>
  <si>
    <t>103</t>
  </si>
  <si>
    <t>MIRNA KASSIR</t>
  </si>
  <si>
    <t>03146289</t>
  </si>
  <si>
    <t>104</t>
  </si>
  <si>
    <t>JANINE FREIHA</t>
  </si>
  <si>
    <t>105</t>
  </si>
  <si>
    <t>SUHA GAITH</t>
  </si>
  <si>
    <t>106</t>
  </si>
  <si>
    <t>RANDA SAYYUR</t>
  </si>
  <si>
    <t>107</t>
  </si>
  <si>
    <t>MICHELLE MALLAT RICHANI</t>
  </si>
  <si>
    <t>108</t>
  </si>
  <si>
    <t>WORLD TRADING GEMS.</t>
  </si>
  <si>
    <t>109</t>
  </si>
  <si>
    <t>RIM YEREVANIAN</t>
  </si>
  <si>
    <t>110</t>
  </si>
  <si>
    <t>TAKAY JEWELLERY</t>
  </si>
  <si>
    <t>111</t>
  </si>
  <si>
    <t>NABILA RASAMNY</t>
  </si>
  <si>
    <t>112</t>
  </si>
  <si>
    <t>DAVCO</t>
  </si>
  <si>
    <t>9611881881</t>
  </si>
  <si>
    <t>113</t>
  </si>
  <si>
    <t>LINA TANNIR</t>
  </si>
  <si>
    <t>03773023</t>
  </si>
  <si>
    <t>114</t>
  </si>
  <si>
    <t>FADY EID</t>
  </si>
  <si>
    <t>115</t>
  </si>
  <si>
    <t>NISRINE NASR</t>
  </si>
  <si>
    <t>03440404</t>
  </si>
  <si>
    <t>116</t>
  </si>
  <si>
    <t>HAYSAM CHAHABY</t>
  </si>
  <si>
    <t>03893535</t>
  </si>
  <si>
    <t>117</t>
  </si>
  <si>
    <t>GEORGES KASSIS</t>
  </si>
  <si>
    <t>03771067</t>
  </si>
  <si>
    <t>118</t>
  </si>
  <si>
    <t>JOYCE MOKBEL</t>
  </si>
  <si>
    <t>119</t>
  </si>
  <si>
    <t>MAJD SLEIMAN</t>
  </si>
  <si>
    <t>120</t>
  </si>
  <si>
    <t>MAHA ESTEPHAN</t>
  </si>
  <si>
    <t>03237171</t>
  </si>
  <si>
    <t>121</t>
  </si>
  <si>
    <t>RANA BAHRI</t>
  </si>
  <si>
    <t>122</t>
  </si>
  <si>
    <t>LINA CHOUEIRI</t>
  </si>
  <si>
    <t>123</t>
  </si>
  <si>
    <t>RANDA BENLADEN</t>
  </si>
  <si>
    <t>124</t>
  </si>
  <si>
    <t>GRACE KHAULI</t>
  </si>
  <si>
    <t>125</t>
  </si>
  <si>
    <t>MIREILLE EID</t>
  </si>
  <si>
    <t>126</t>
  </si>
  <si>
    <t>FARIDA EL ACHKAR</t>
  </si>
  <si>
    <t>127</t>
  </si>
  <si>
    <t>SALMA FAWAZ</t>
  </si>
  <si>
    <t>03728494</t>
  </si>
  <si>
    <t>128</t>
  </si>
  <si>
    <t>MONA PAHARAON</t>
  </si>
  <si>
    <t>03381260</t>
  </si>
  <si>
    <t>129</t>
  </si>
  <si>
    <t>MONA HRAOUI</t>
  </si>
  <si>
    <t>130</t>
  </si>
  <si>
    <t>KRIKOR ISTANBOULIAN</t>
  </si>
  <si>
    <t>BOURJ HAMMOUD/MUNICIPALITY SQUARE</t>
  </si>
  <si>
    <t>MEKHITARIAN BLDG.</t>
  </si>
  <si>
    <t>01243088</t>
  </si>
  <si>
    <t>03666185</t>
  </si>
  <si>
    <t>131</t>
  </si>
  <si>
    <t>RICH-ART MOUNTING HOUSE S.A.R.</t>
  </si>
  <si>
    <t>01247242</t>
  </si>
  <si>
    <t>132</t>
  </si>
  <si>
    <t>RITA HILAL</t>
  </si>
  <si>
    <t>133</t>
  </si>
  <si>
    <t>HAYOULA YASSINE</t>
  </si>
  <si>
    <t>03626394</t>
  </si>
  <si>
    <t>134</t>
  </si>
  <si>
    <t>HANA WALID TABBARA</t>
  </si>
  <si>
    <t>135</t>
  </si>
  <si>
    <t>SAMAR MAKKI</t>
  </si>
  <si>
    <t>136</t>
  </si>
  <si>
    <t>WADDAH AL CHAER</t>
  </si>
  <si>
    <t>137</t>
  </si>
  <si>
    <t>MONDIAL CORAL</t>
  </si>
  <si>
    <t>+390818819038</t>
  </si>
  <si>
    <t>+390818492145</t>
  </si>
  <si>
    <t>138</t>
  </si>
  <si>
    <t>SABINE ALI HASSAN</t>
  </si>
  <si>
    <t>03778771</t>
  </si>
  <si>
    <t>139</t>
  </si>
  <si>
    <t>ROULA DALLOUL</t>
  </si>
  <si>
    <t>03777111</t>
  </si>
  <si>
    <t>140</t>
  </si>
  <si>
    <t>SOURAYA BISHER</t>
  </si>
  <si>
    <t>141</t>
  </si>
  <si>
    <t>BALKAN KOMBARGI</t>
  </si>
  <si>
    <t>03771498</t>
  </si>
  <si>
    <t>142</t>
  </si>
  <si>
    <t>FAUDE &amp; HUGUENIN SA</t>
  </si>
  <si>
    <t>STAUSEESTRASSE 1-5316 GIPPINGEN</t>
  </si>
  <si>
    <t>0562686700</t>
  </si>
  <si>
    <t>0329305200</t>
  </si>
  <si>
    <t>0562686717</t>
  </si>
  <si>
    <t>143</t>
  </si>
  <si>
    <t>ARTINIAN  NV</t>
  </si>
  <si>
    <t>ANTWERPS</t>
  </si>
  <si>
    <t>144</t>
  </si>
  <si>
    <t>LEILA WEHBE</t>
  </si>
  <si>
    <t>03746124</t>
  </si>
  <si>
    <t>145</t>
  </si>
  <si>
    <t>WADIH MRAD</t>
  </si>
  <si>
    <t>DBAYEH</t>
  </si>
  <si>
    <t>044044389</t>
  </si>
  <si>
    <t>03224224</t>
  </si>
  <si>
    <t>04411003</t>
  </si>
  <si>
    <t>146</t>
  </si>
  <si>
    <t>HADDAD PRECIOUS STONES SARL.</t>
  </si>
  <si>
    <t>DORA HIGHWAY</t>
  </si>
  <si>
    <t>01243557</t>
  </si>
  <si>
    <t>01243558</t>
  </si>
  <si>
    <t>147</t>
  </si>
  <si>
    <t>WORLD TRADING SERVICES N.Y.</t>
  </si>
  <si>
    <t>22W 48TH STREET SUITE 1108</t>
  </si>
  <si>
    <t>NEW YORK NY 10036</t>
  </si>
  <si>
    <t>2129977838</t>
  </si>
  <si>
    <t>148</t>
  </si>
  <si>
    <t>VATCHE JAKMAYAN</t>
  </si>
  <si>
    <t>01264794</t>
  </si>
  <si>
    <t>03882789</t>
  </si>
  <si>
    <t>149</t>
  </si>
  <si>
    <t>ISMAIL KHALIL</t>
  </si>
  <si>
    <t>150</t>
  </si>
  <si>
    <t>MONA JABRE</t>
  </si>
  <si>
    <t>151</t>
  </si>
  <si>
    <t>DIANE IBRAHIMCHAH</t>
  </si>
  <si>
    <t>03333373</t>
  </si>
  <si>
    <t>152</t>
  </si>
  <si>
    <t>RAJAA GHANDOUR</t>
  </si>
  <si>
    <t>153</t>
  </si>
  <si>
    <t>HIND KABBARA</t>
  </si>
  <si>
    <t>03377677</t>
  </si>
  <si>
    <t>154</t>
  </si>
  <si>
    <t>HODA KASSAR</t>
  </si>
  <si>
    <t>03650640</t>
  </si>
  <si>
    <t>155</t>
  </si>
  <si>
    <t>NAGIB TABBAH</t>
  </si>
  <si>
    <t>156</t>
  </si>
  <si>
    <t>BECHER TRABOULSI</t>
  </si>
  <si>
    <t>157</t>
  </si>
  <si>
    <t>SETHRIDA GEAGEA</t>
  </si>
  <si>
    <t>03213077</t>
  </si>
  <si>
    <t>158</t>
  </si>
  <si>
    <t>CHADIA ABOU GHAZALEH</t>
  </si>
  <si>
    <t>03369123</t>
  </si>
  <si>
    <t>159</t>
  </si>
  <si>
    <t>NAJIBE SELWAN</t>
  </si>
  <si>
    <t>03536601</t>
  </si>
  <si>
    <t>160</t>
  </si>
  <si>
    <t>ELIAS SAYEGH</t>
  </si>
  <si>
    <t>161</t>
  </si>
  <si>
    <t>BEMIDO S.A.</t>
  </si>
  <si>
    <t>162</t>
  </si>
  <si>
    <t>RITA DAKKAK</t>
  </si>
  <si>
    <t>03205351</t>
  </si>
  <si>
    <t>163</t>
  </si>
  <si>
    <t>MAAMOUN TABBAA</t>
  </si>
  <si>
    <t>164</t>
  </si>
  <si>
    <t>FATIMA MIKATI</t>
  </si>
  <si>
    <t>165</t>
  </si>
  <si>
    <t>NAJAH GAIS</t>
  </si>
  <si>
    <t>166</t>
  </si>
  <si>
    <t>MOHAMAD AL-GHANIM</t>
  </si>
  <si>
    <t>167</t>
  </si>
  <si>
    <t>ALAIN YAZBECK</t>
  </si>
  <si>
    <t>168</t>
  </si>
  <si>
    <t>THERESE RAYESS</t>
  </si>
  <si>
    <t>03381235</t>
  </si>
  <si>
    <t>169</t>
  </si>
  <si>
    <t>LINA GHAITH</t>
  </si>
  <si>
    <t>03889080</t>
  </si>
  <si>
    <t>170</t>
  </si>
  <si>
    <t>NADA MAGHRABI</t>
  </si>
  <si>
    <t>171</t>
  </si>
  <si>
    <t>ELHAM RAPHAEL</t>
  </si>
  <si>
    <t>172</t>
  </si>
  <si>
    <t>MASSOUNI TABBARA</t>
  </si>
  <si>
    <t>173</t>
  </si>
  <si>
    <t>SCHOFER GERMANY</t>
  </si>
  <si>
    <t>490723191030</t>
  </si>
  <si>
    <t>4907231101599</t>
  </si>
  <si>
    <t>174</t>
  </si>
  <si>
    <t>CHAMAM HAMMAMI</t>
  </si>
  <si>
    <t>175</t>
  </si>
  <si>
    <t>TOMETY DIAMONDS S.A.R.L.</t>
  </si>
  <si>
    <t>GROUP MURR BLDG. DORA BLVD.</t>
  </si>
  <si>
    <t>LEBANON</t>
  </si>
  <si>
    <t>176</t>
  </si>
  <si>
    <t>MICHAEL GAD</t>
  </si>
  <si>
    <t>589 FIFTH AV.,SUITE 1208, NEW YORK</t>
  </si>
  <si>
    <t>2128887888</t>
  </si>
  <si>
    <t>2128881661</t>
  </si>
  <si>
    <t>177</t>
  </si>
  <si>
    <t>ALI EL-ZEIN.</t>
  </si>
  <si>
    <t>178</t>
  </si>
  <si>
    <t>IL-FENICIO S.A.R.L.</t>
  </si>
  <si>
    <t>JBEIL-CENTRE ST. PAUL.</t>
  </si>
  <si>
    <t>09546426</t>
  </si>
  <si>
    <t>179</t>
  </si>
  <si>
    <t>AZURE GEMS</t>
  </si>
  <si>
    <t>HARBOYAN CENTER BLOCK B 4TH. FLOOR</t>
  </si>
  <si>
    <t>01243460</t>
  </si>
  <si>
    <t>03777887</t>
  </si>
  <si>
    <t>180</t>
  </si>
  <si>
    <t>LUXURY CONNECT ENTERPRISE IN</t>
  </si>
  <si>
    <t>181</t>
  </si>
  <si>
    <t>ROULA DAOUK</t>
  </si>
  <si>
    <t>03658888</t>
  </si>
  <si>
    <t>182</t>
  </si>
  <si>
    <t>PATRICIA BAKRI</t>
  </si>
  <si>
    <t>70628272</t>
  </si>
  <si>
    <t>183</t>
  </si>
  <si>
    <t>MD'A SUCCURSALE DE GENEVE.</t>
  </si>
  <si>
    <t>CHEMIN DES SELLIERES 31B</t>
  </si>
  <si>
    <t>1219/GENEVE/AIRE</t>
  </si>
  <si>
    <t>0227974500</t>
  </si>
  <si>
    <t>0796250821</t>
  </si>
  <si>
    <t>0227974501</t>
  </si>
  <si>
    <t>184</t>
  </si>
  <si>
    <t>SOUAD SOLH</t>
  </si>
  <si>
    <t>185</t>
  </si>
  <si>
    <t>SHERINE TAYEB</t>
  </si>
  <si>
    <t>186</t>
  </si>
  <si>
    <t>MARIE JALLAD</t>
  </si>
  <si>
    <t>03988966</t>
  </si>
  <si>
    <t>187</t>
  </si>
  <si>
    <t>NADIA HAMDOUN</t>
  </si>
  <si>
    <t>188</t>
  </si>
  <si>
    <t>NIRU</t>
  </si>
  <si>
    <t>189</t>
  </si>
  <si>
    <t>NADA DEBAI</t>
  </si>
  <si>
    <t>190</t>
  </si>
  <si>
    <t>WASSILA SOLH</t>
  </si>
  <si>
    <t>191</t>
  </si>
  <si>
    <t>JOYCE SAMIR MOKBEL</t>
  </si>
  <si>
    <t>192</t>
  </si>
  <si>
    <t>AMALE KOMBARGI</t>
  </si>
  <si>
    <t>03775840</t>
  </si>
  <si>
    <t>193</t>
  </si>
  <si>
    <t>NABIL CHAHLAOUI</t>
  </si>
  <si>
    <t>03713700</t>
  </si>
  <si>
    <t>194</t>
  </si>
  <si>
    <t>FIRAS AL-RIFAI</t>
  </si>
  <si>
    <t>195</t>
  </si>
  <si>
    <t>HODA SINNO</t>
  </si>
  <si>
    <t>196</t>
  </si>
  <si>
    <t>SANDRA ABOU NADER</t>
  </si>
  <si>
    <t>197</t>
  </si>
  <si>
    <t>HALA SAMIR AJAMI</t>
  </si>
  <si>
    <t>03950037</t>
  </si>
  <si>
    <t>198</t>
  </si>
  <si>
    <t>SHERINE AHMAD ABDEL WAHAB</t>
  </si>
  <si>
    <t>199</t>
  </si>
  <si>
    <t>RANIA TALEB</t>
  </si>
  <si>
    <t>03745235</t>
  </si>
  <si>
    <t>200</t>
  </si>
  <si>
    <t>NADA GHANDOUR</t>
  </si>
  <si>
    <t>03222566</t>
  </si>
  <si>
    <t>NADINE YOUNES</t>
  </si>
  <si>
    <t>SABOO</t>
  </si>
  <si>
    <t>203</t>
  </si>
  <si>
    <t>NOOR GEMS</t>
  </si>
  <si>
    <t>1202</t>
  </si>
  <si>
    <t>204</t>
  </si>
  <si>
    <t>BOUTIQUE 1</t>
  </si>
  <si>
    <t>205</t>
  </si>
  <si>
    <t>REINA OUEIDA</t>
  </si>
  <si>
    <t>206</t>
  </si>
  <si>
    <t>CHRISTIANE ABI HANNA</t>
  </si>
  <si>
    <t>207</t>
  </si>
  <si>
    <t>DENISE BASSOUL</t>
  </si>
  <si>
    <t>208</t>
  </si>
  <si>
    <t>NAYLA ABOU MANSOUR</t>
  </si>
  <si>
    <t>01200739</t>
  </si>
  <si>
    <t>209</t>
  </si>
  <si>
    <t>MICHA MATTA</t>
  </si>
  <si>
    <t>210</t>
  </si>
  <si>
    <t>NADIM TEWTAL</t>
  </si>
  <si>
    <t>211</t>
  </si>
  <si>
    <t>JOELLE SELIM GHORAYEB</t>
  </si>
  <si>
    <t>212</t>
  </si>
  <si>
    <t>CLAUDE ISSA</t>
  </si>
  <si>
    <t>213</t>
  </si>
  <si>
    <t>THERESE HAJJ</t>
  </si>
  <si>
    <t>214</t>
  </si>
  <si>
    <t>GEMS TRADE COMPANY INC.</t>
  </si>
  <si>
    <t>215</t>
  </si>
  <si>
    <t>RANIA AL AKHAL</t>
  </si>
  <si>
    <t>216</t>
  </si>
  <si>
    <t>MAYA BARBIR</t>
  </si>
  <si>
    <t>217</t>
  </si>
  <si>
    <t>MAY CHAKER</t>
  </si>
  <si>
    <t>218</t>
  </si>
  <si>
    <t>GEORGES EID</t>
  </si>
  <si>
    <t>219</t>
  </si>
  <si>
    <t>HANANE YAHFOUFI</t>
  </si>
  <si>
    <t>220</t>
  </si>
  <si>
    <t>DOLLY SAYEGH</t>
  </si>
  <si>
    <t>221</t>
  </si>
  <si>
    <t>SINGHVI GEMS HK</t>
  </si>
  <si>
    <t>F1-10,5/F BLOCK 1, HANG FUNG IND BLDG.</t>
  </si>
  <si>
    <t>2G HOK YUEN STREET HONG KONG</t>
  </si>
  <si>
    <t>61829970</t>
  </si>
  <si>
    <t>+85230076599</t>
  </si>
  <si>
    <t>222</t>
  </si>
  <si>
    <t>TOUFIC ABI RICHA</t>
  </si>
  <si>
    <t>223</t>
  </si>
  <si>
    <t>FATIMA GHANDOUR</t>
  </si>
  <si>
    <t>224</t>
  </si>
  <si>
    <t>JOSEPH HAJJAR</t>
  </si>
  <si>
    <t>225</t>
  </si>
  <si>
    <t>NADA BOCTI</t>
  </si>
  <si>
    <t>226</t>
  </si>
  <si>
    <t>COLETTE HADDAD</t>
  </si>
  <si>
    <t>227</t>
  </si>
  <si>
    <t>DORY SLIM</t>
  </si>
  <si>
    <t>228</t>
  </si>
  <si>
    <t>MONA EL JISR</t>
  </si>
  <si>
    <t>229</t>
  </si>
  <si>
    <t>YOLA BASSILA</t>
  </si>
  <si>
    <t>01322346</t>
  </si>
  <si>
    <t>230</t>
  </si>
  <si>
    <t>SAHELY RANIA</t>
  </si>
  <si>
    <t>231</t>
  </si>
  <si>
    <t>RANIA SAHELY</t>
  </si>
  <si>
    <t>232</t>
  </si>
  <si>
    <t>FAWZIA AL-ALI</t>
  </si>
  <si>
    <t>03225858</t>
  </si>
  <si>
    <t>233</t>
  </si>
  <si>
    <t>MAYSA LADKI</t>
  </si>
  <si>
    <t>234</t>
  </si>
  <si>
    <t>DANA BAHRI</t>
  </si>
  <si>
    <t>235</t>
  </si>
  <si>
    <t>DOLLY DEBS</t>
  </si>
  <si>
    <t>236</t>
  </si>
  <si>
    <t>RIFAAT SHEIKH EIARD</t>
  </si>
  <si>
    <t>237</t>
  </si>
  <si>
    <t>PRCS. AL-JAWHARA B.ABD. B.A.RN</t>
  </si>
  <si>
    <t>238</t>
  </si>
  <si>
    <t>MYRNA KHALIL</t>
  </si>
  <si>
    <t>239</t>
  </si>
  <si>
    <t>YASMINE KHALIL</t>
  </si>
  <si>
    <t>240</t>
  </si>
  <si>
    <t>IMANE BERRI</t>
  </si>
  <si>
    <t>241</t>
  </si>
  <si>
    <t>YOUSRA KHANAFER</t>
  </si>
  <si>
    <t>242</t>
  </si>
  <si>
    <t>AMANI SALAMEH</t>
  </si>
  <si>
    <t>03777665</t>
  </si>
  <si>
    <t>243</t>
  </si>
  <si>
    <t>DUNIA AL HARETH</t>
  </si>
  <si>
    <t>244</t>
  </si>
  <si>
    <t>HEIMERLE +MEULE GROUP</t>
  </si>
  <si>
    <t>245</t>
  </si>
  <si>
    <t>CHANTAL ADAIMY</t>
  </si>
  <si>
    <t>246</t>
  </si>
  <si>
    <t>ISSAM KRONFOL</t>
  </si>
  <si>
    <t>247</t>
  </si>
  <si>
    <t>MIREILLE ELHAJJ</t>
  </si>
  <si>
    <t>248</t>
  </si>
  <si>
    <t>FAREID CHEDID</t>
  </si>
  <si>
    <t>249</t>
  </si>
  <si>
    <t>ZEINA BDEIR</t>
  </si>
  <si>
    <t>250</t>
  </si>
  <si>
    <t>HODA SAROUFIM</t>
  </si>
  <si>
    <t>251</t>
  </si>
  <si>
    <t>CATHY ATHANASSIADES</t>
  </si>
  <si>
    <t>252</t>
  </si>
  <si>
    <t>HANA ABOU ZAHR</t>
  </si>
  <si>
    <t>03368338</t>
  </si>
  <si>
    <t>253</t>
  </si>
  <si>
    <t>BADRIA SOUBRA</t>
  </si>
  <si>
    <t>254</t>
  </si>
  <si>
    <t>JOANNA CHAMMAS</t>
  </si>
  <si>
    <t>255</t>
  </si>
  <si>
    <t>NAHLA MIKATI</t>
  </si>
  <si>
    <t>256</t>
  </si>
  <si>
    <t>KRIPALROCKS DMCC</t>
  </si>
  <si>
    <t>17-D SILVER TOWER CLUSTER-I JUMEIRAH</t>
  </si>
  <si>
    <t>LAKE TOWERS DUBAI U.A.E.</t>
  </si>
  <si>
    <t>+97145515985</t>
  </si>
  <si>
    <t>+971558157512</t>
  </si>
  <si>
    <t>257</t>
  </si>
  <si>
    <t>RAED &amp; MARIANA BASSATNE</t>
  </si>
  <si>
    <t>258</t>
  </si>
  <si>
    <t>SABAH &amp; MOUFID WANSA</t>
  </si>
  <si>
    <t>259</t>
  </si>
  <si>
    <t>KAWSAR GHOSN</t>
  </si>
  <si>
    <t>260</t>
  </si>
  <si>
    <t>ZEINA AYAD</t>
  </si>
  <si>
    <t>261</t>
  </si>
  <si>
    <t>ANTOINE EID</t>
  </si>
  <si>
    <t>262</t>
  </si>
  <si>
    <t>CREATIONS JC PERRIN SAS</t>
  </si>
  <si>
    <t>263</t>
  </si>
  <si>
    <t>NADER YASSINE</t>
  </si>
  <si>
    <t>71336984</t>
  </si>
  <si>
    <t>264</t>
  </si>
  <si>
    <t>CLAUDIA FADEL</t>
  </si>
  <si>
    <t>265</t>
  </si>
  <si>
    <t>HALIME EL-RIZ</t>
  </si>
  <si>
    <t>266</t>
  </si>
  <si>
    <t>MIRA MIKATI BDEIR</t>
  </si>
  <si>
    <t>267</t>
  </si>
  <si>
    <t>NADA HUSSEINI EL ZEIN</t>
  </si>
  <si>
    <t>268</t>
  </si>
  <si>
    <t>CAROLINE &amp; MARC TABOURIAN</t>
  </si>
  <si>
    <t>03327766</t>
  </si>
  <si>
    <t>269</t>
  </si>
  <si>
    <t>NADA RASSAMNY</t>
  </si>
  <si>
    <t>03220031</t>
  </si>
  <si>
    <t>270</t>
  </si>
  <si>
    <t>MARIA KEZBARI</t>
  </si>
  <si>
    <t>03307344</t>
  </si>
  <si>
    <t>271</t>
  </si>
  <si>
    <t>MICHEL EID</t>
  </si>
  <si>
    <t>03909801</t>
  </si>
  <si>
    <t>272</t>
  </si>
  <si>
    <t>MONA FREIHA</t>
  </si>
  <si>
    <t>03606095</t>
  </si>
  <si>
    <t>273</t>
  </si>
  <si>
    <t>ANGIE DAKHLALLAH</t>
  </si>
  <si>
    <t>274</t>
  </si>
  <si>
    <t>MONA FAHAD AL ZAHID</t>
  </si>
  <si>
    <t>275</t>
  </si>
  <si>
    <t>TAREK HAMMOUD</t>
  </si>
  <si>
    <t>276</t>
  </si>
  <si>
    <t>ELIE ABOU MANSOUR</t>
  </si>
  <si>
    <t>03301150</t>
  </si>
  <si>
    <t>277</t>
  </si>
  <si>
    <t>GRACINDA MOUNLA</t>
  </si>
  <si>
    <t>278</t>
  </si>
  <si>
    <t>SUZANNE NASSIF</t>
  </si>
  <si>
    <t>279</t>
  </si>
  <si>
    <t>HALA BASSATNE</t>
  </si>
  <si>
    <t>280</t>
  </si>
  <si>
    <t>LA BELLE DIAMANTE</t>
  </si>
  <si>
    <t>HARBOYAN CENTER, ARMENIAN STREET, BOURJ</t>
  </si>
  <si>
    <t>HAMMOUD, BEIRUT.  labellediamante@gmail.</t>
  </si>
  <si>
    <t>03084499</t>
  </si>
  <si>
    <t>281</t>
  </si>
  <si>
    <t>GHOSTINE MARC</t>
  </si>
  <si>
    <t>282</t>
  </si>
  <si>
    <t>KHALIL EL ISMAIL &amp; GRACINDA</t>
  </si>
  <si>
    <t>BEIRUT - VERDUN - LES DUNES.</t>
  </si>
  <si>
    <t>03688270</t>
  </si>
  <si>
    <t>283</t>
  </si>
  <si>
    <t>MECATAF</t>
  </si>
  <si>
    <t>284</t>
  </si>
  <si>
    <t>MIRNA SARKIS</t>
  </si>
  <si>
    <t>285</t>
  </si>
  <si>
    <t>PRCSS ABIR BINT TURQI B.A.A.</t>
  </si>
  <si>
    <t>SAUDI ARABIA - RIYADH.</t>
  </si>
  <si>
    <t>286</t>
  </si>
  <si>
    <t>SFEIR CLAUDE</t>
  </si>
  <si>
    <t>287</t>
  </si>
  <si>
    <t>METAL TREASURER</t>
  </si>
  <si>
    <t>c/o METIERS D'ART</t>
  </si>
  <si>
    <t>BEIRUT - DORA - KARANTINA</t>
  </si>
  <si>
    <t>01583980</t>
  </si>
  <si>
    <t>288</t>
  </si>
  <si>
    <t>LUXART 1862</t>
  </si>
  <si>
    <t>55, RUE DE LA PRAILLE, 1227 CAROUGE</t>
  </si>
  <si>
    <t>luxart1862.sa@bluewin.ch /www.tabbah.com</t>
  </si>
  <si>
    <t>289</t>
  </si>
  <si>
    <t>CHAKER HASSAN &amp; LINA</t>
  </si>
  <si>
    <t>BEIRUT - AIN EL TINEH - SALHA BLDG -</t>
  </si>
  <si>
    <t>NEAR QATAR AIRWAYS - 5th FLOOR.</t>
  </si>
  <si>
    <t>03742537</t>
  </si>
  <si>
    <t>03336465</t>
  </si>
  <si>
    <t>290</t>
  </si>
  <si>
    <t>STELLINA</t>
  </si>
  <si>
    <t>VIA MARIO PAGANO, 29</t>
  </si>
  <si>
    <t>20090 Trezzano Sul Naviglio (Milano)</t>
  </si>
  <si>
    <t>000248405819</t>
  </si>
  <si>
    <t>000248405772</t>
  </si>
  <si>
    <t>291</t>
  </si>
  <si>
    <t>BME (BARSAMIAN MIDDLE EAST)</t>
  </si>
  <si>
    <t>9F ALMAS TOWER - JUMEIRAH -</t>
  </si>
  <si>
    <t>JUMEIRAH LAKES TOWERS - DUBAI, UAE.</t>
  </si>
  <si>
    <t>0097144245900</t>
  </si>
  <si>
    <t>0097144245901</t>
  </si>
  <si>
    <t>292</t>
  </si>
  <si>
    <t>SAHELY CERINA</t>
  </si>
  <si>
    <t>293</t>
  </si>
  <si>
    <t>NACOUZI JOE</t>
  </si>
  <si>
    <t>294</t>
  </si>
  <si>
    <t>SAADI EL NADIA (mme)</t>
  </si>
  <si>
    <t>METN - BEIT MERY.</t>
  </si>
  <si>
    <t>78820611</t>
  </si>
  <si>
    <t>295</t>
  </si>
  <si>
    <t>c/o MÈtiers d'Art sal</t>
  </si>
  <si>
    <t>296</t>
  </si>
  <si>
    <t>JUREIDINI GEMS AND JEWELLERY</t>
  </si>
  <si>
    <t>297</t>
  </si>
  <si>
    <t>FIVE STARS DIAMOND (L.L.C)</t>
  </si>
  <si>
    <t>U.A.E - DUBAI - DEIRA</t>
  </si>
  <si>
    <t>+97142269331</t>
  </si>
  <si>
    <t>+971505524437</t>
  </si>
  <si>
    <t>298</t>
  </si>
  <si>
    <t>WAKIM ANNE-MARIE</t>
  </si>
  <si>
    <t>JOUNIEH</t>
  </si>
  <si>
    <t>299</t>
  </si>
  <si>
    <t>GEMS FINE (H.K)</t>
  </si>
  <si>
    <t>HONG KONG</t>
  </si>
  <si>
    <t>85223664071</t>
  </si>
  <si>
    <t>300</t>
  </si>
  <si>
    <t>PAMIR GEMS CO, LTD</t>
  </si>
  <si>
    <t>BANGKOK</t>
  </si>
  <si>
    <t>+6622682181</t>
  </si>
  <si>
    <t>STE. YAACOUB BOGHOS AND SONS</t>
  </si>
  <si>
    <t>DORA-LEBANON</t>
  </si>
  <si>
    <t>ASSILY RANDA</t>
  </si>
  <si>
    <t>BEIRUT ACHRAFIEH STREET</t>
  </si>
  <si>
    <t>GHANDOUR ALSAAD BLDG ASSILY</t>
  </si>
  <si>
    <t>303</t>
  </si>
  <si>
    <t>ANTONIA TABBAH</t>
  </si>
  <si>
    <t>ACHRAFIYEH - LEBANON</t>
  </si>
  <si>
    <t>304</t>
  </si>
  <si>
    <t>DIASTAR JEWELLERY</t>
  </si>
  <si>
    <t>GEMOPOLIS MALL PHASE1 2 ND FLOOR</t>
  </si>
  <si>
    <t>KHET PRAVET BANKOK 10250 THAILAND</t>
  </si>
  <si>
    <t>+66027270612</t>
  </si>
  <si>
    <t>+66027270613</t>
  </si>
  <si>
    <t>305</t>
  </si>
  <si>
    <t>RASELLI FRANCO</t>
  </si>
  <si>
    <t>ZONA ARTIGIANALE ORAFA 15048 VALENZA</t>
  </si>
  <si>
    <t>+390131941817</t>
  </si>
  <si>
    <t>+390131946672</t>
  </si>
  <si>
    <t>306</t>
  </si>
  <si>
    <t>CATERG CO.LTD</t>
  </si>
  <si>
    <t>YANAWA BANKOK THAILAND</t>
  </si>
  <si>
    <t>022122107</t>
  </si>
  <si>
    <t>022122945</t>
  </si>
  <si>
    <t>307</t>
  </si>
  <si>
    <t>INTERNATIONAL MINERALS &amp; GEMS</t>
  </si>
  <si>
    <t>SIPRAYA , BANGRAK, BANKOK</t>
  </si>
  <si>
    <t>6626318090</t>
  </si>
  <si>
    <t>6626318091</t>
  </si>
  <si>
    <t>308</t>
  </si>
  <si>
    <t>SAHELY LANA</t>
  </si>
  <si>
    <t>code</t>
  </si>
  <si>
    <t>Level</t>
  </si>
  <si>
    <t>ParentCode</t>
  </si>
  <si>
    <t>ParentName</t>
  </si>
  <si>
    <t>01</t>
  </si>
  <si>
    <t>Country</t>
  </si>
  <si>
    <t>02</t>
  </si>
  <si>
    <t>0201</t>
  </si>
  <si>
    <t>City</t>
  </si>
  <si>
    <t>03</t>
  </si>
  <si>
    <t>FRANCE</t>
  </si>
  <si>
    <t>0301</t>
  </si>
  <si>
    <t>0101</t>
  </si>
  <si>
    <t>BEYROUTH</t>
  </si>
  <si>
    <t>04</t>
  </si>
  <si>
    <t>SAUDI ARABIA</t>
  </si>
  <si>
    <t>0401</t>
  </si>
  <si>
    <t>RIYAD</t>
  </si>
  <si>
    <t>0202</t>
  </si>
  <si>
    <t>GENEVE</t>
  </si>
  <si>
    <t>0302</t>
  </si>
  <si>
    <t>PARIS</t>
  </si>
  <si>
    <t>05</t>
  </si>
  <si>
    <t>GERMANY</t>
  </si>
  <si>
    <t>06</t>
  </si>
  <si>
    <t>BELGIUM</t>
  </si>
  <si>
    <t>07</t>
  </si>
  <si>
    <t>JAPAN</t>
  </si>
  <si>
    <t>08</t>
  </si>
  <si>
    <t>SRI LANKA</t>
  </si>
  <si>
    <t>0801</t>
  </si>
  <si>
    <t>09</t>
  </si>
  <si>
    <t>THAILAND</t>
  </si>
  <si>
    <t>0901</t>
  </si>
  <si>
    <t>090101</t>
  </si>
  <si>
    <t>BANGRAK</t>
  </si>
  <si>
    <t>District</t>
  </si>
  <si>
    <t>080101</t>
  </si>
  <si>
    <t>DAWSON STREET</t>
  </si>
  <si>
    <t>CYPRUS</t>
  </si>
  <si>
    <t>1001</t>
  </si>
  <si>
    <t>LIMASSOL</t>
  </si>
  <si>
    <t>0102</t>
  </si>
  <si>
    <t>TRIPOLI</t>
  </si>
  <si>
    <t>ENGLAND</t>
  </si>
  <si>
    <t>U.S.A.</t>
  </si>
  <si>
    <t>NEW YORK</t>
  </si>
  <si>
    <t>KUWAIT</t>
  </si>
  <si>
    <t>0103</t>
  </si>
  <si>
    <t>ZAHLE</t>
  </si>
  <si>
    <t>QATAR</t>
  </si>
  <si>
    <t>1501</t>
  </si>
  <si>
    <t>DOHA</t>
  </si>
  <si>
    <t>CANADA</t>
  </si>
  <si>
    <t>1601</t>
  </si>
  <si>
    <t>MONTREAL</t>
  </si>
  <si>
    <t>1602</t>
  </si>
  <si>
    <t>TORONTO</t>
  </si>
  <si>
    <t>1603</t>
  </si>
  <si>
    <t>QUEBEC</t>
  </si>
  <si>
    <t>SYRIA</t>
  </si>
  <si>
    <t>1701</t>
  </si>
  <si>
    <t>DAMAS</t>
  </si>
  <si>
    <t>JORDAN</t>
  </si>
  <si>
    <t>1801</t>
  </si>
  <si>
    <t>AMMAN</t>
  </si>
  <si>
    <t>0104</t>
  </si>
  <si>
    <t>SAIDA</t>
  </si>
  <si>
    <t>EGYPT</t>
  </si>
  <si>
    <t>1901</t>
  </si>
  <si>
    <t>CAIRO</t>
  </si>
  <si>
    <t>EMIRATES</t>
  </si>
  <si>
    <t>ITALY</t>
  </si>
  <si>
    <t>MEXICO</t>
  </si>
  <si>
    <t>2201</t>
  </si>
  <si>
    <t>GREECE</t>
  </si>
  <si>
    <t>SENEGAL</t>
  </si>
  <si>
    <t>AUSTRALIA</t>
  </si>
  <si>
    <t>ABU DHABI</t>
  </si>
  <si>
    <t>MOROCCO</t>
  </si>
  <si>
    <t>SOUDAN</t>
  </si>
  <si>
    <t>HOLLAND</t>
  </si>
  <si>
    <t>2002</t>
  </si>
  <si>
    <t>AL CHARKA</t>
  </si>
  <si>
    <t>0105</t>
  </si>
  <si>
    <t>JBEIL</t>
  </si>
  <si>
    <t>2901</t>
  </si>
  <si>
    <t>AMSTERDAM</t>
  </si>
  <si>
    <t>0106</t>
  </si>
  <si>
    <t>GHANA</t>
  </si>
  <si>
    <t>RUSSIA</t>
  </si>
  <si>
    <t>ALGERIA</t>
  </si>
  <si>
    <t>SOUTH AFRICA</t>
  </si>
  <si>
    <t>PORTO RICO</t>
  </si>
  <si>
    <t>MALTA</t>
  </si>
  <si>
    <t>TUNIS</t>
  </si>
  <si>
    <t>BAHRAIN</t>
  </si>
  <si>
    <t>3701</t>
  </si>
  <si>
    <t>MANAMAH</t>
  </si>
  <si>
    <t>BRAZIL</t>
  </si>
  <si>
    <t>IRAN</t>
  </si>
  <si>
    <t>3901</t>
  </si>
  <si>
    <t>TAHRAN</t>
  </si>
  <si>
    <t>1101</t>
  </si>
  <si>
    <t>LONDON</t>
  </si>
  <si>
    <t>TURKEY</t>
  </si>
  <si>
    <t>2701</t>
  </si>
  <si>
    <t>RABAT</t>
  </si>
  <si>
    <t>IRAQ</t>
  </si>
  <si>
    <t>4101</t>
  </si>
  <si>
    <t>BAGHDAD</t>
  </si>
  <si>
    <t>OMAN</t>
  </si>
  <si>
    <t>4201</t>
  </si>
  <si>
    <t>MASCAT</t>
  </si>
  <si>
    <t>SPAIN</t>
  </si>
  <si>
    <t>4301</t>
  </si>
  <si>
    <t>MADRID</t>
  </si>
  <si>
    <t>VENEZUELA</t>
  </si>
  <si>
    <t>BRITISH VIRGIN ISLAND</t>
  </si>
  <si>
    <t>HONGKONG</t>
  </si>
  <si>
    <t>4601</t>
  </si>
  <si>
    <t>KOWLOON</t>
  </si>
  <si>
    <t>LOS ANGELOS</t>
  </si>
  <si>
    <t>COTE D'IVORE</t>
  </si>
  <si>
    <t>INDIA</t>
  </si>
  <si>
    <t>ROMANIA</t>
  </si>
  <si>
    <t>CONGO</t>
  </si>
  <si>
    <t>5001</t>
  </si>
  <si>
    <t>KINSHASA</t>
  </si>
  <si>
    <t>desc</t>
  </si>
  <si>
    <t>cyea</t>
  </si>
  <si>
    <t>lyea</t>
  </si>
  <si>
    <t>lyea1</t>
  </si>
  <si>
    <t>lyea2</t>
  </si>
  <si>
    <t>lyea3</t>
  </si>
  <si>
    <t>lyea4</t>
  </si>
  <si>
    <t>MCAT</t>
  </si>
  <si>
    <t>FOREIGN SUPPLIR</t>
  </si>
  <si>
    <t>LOCAL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</si>
</sst>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69CE8E-305D-400C-AD7F-932D589EA9F0}" name="Table3" displayName="Table3" ref="A1:O309" totalsRowShown="0" headerRowDxfId="5" headerRowBorderDxfId="4" tableBorderDxfId="3">
  <autoFilter ref="A1:O309" xr:uid="{CB69CE8E-305D-400C-AD7F-932D589EA9F0}"/>
  <sortState xmlns:xlrd2="http://schemas.microsoft.com/office/spreadsheetml/2017/richdata2" ref="A2:O309">
    <sortCondition ref="A1:A309"/>
  </sortState>
  <tableColumns count="15">
    <tableColumn id="1" xr3:uid="{F8C1C655-EF7D-46E8-AEE6-47FE7FEEE276}" name="pdg_legacyid"/>
    <tableColumn id="2" xr3:uid="{0F594E7B-9A84-4D42-9630-DF8CC92F7BB7}" name="name"/>
    <tableColumn id="3" xr3:uid="{6874D6E8-5C22-48DA-9C52-36B9442C7508}" name="pdg_categorycode"/>
    <tableColumn id="4" xr3:uid="{F6B3A7EB-1032-473F-8A46-273395329600}" name="pdg_categoryname"/>
    <tableColumn id="5" xr3:uid="{CDD1FE8A-0416-4B76-BF1F-6EFF3AF7CC12}" name="pdg_zonecode"/>
    <tableColumn id="6" xr3:uid="{548F8BBD-BEB8-49B9-B616-868C98693981}" name="pdg_zonename">
      <calculatedColumnFormula>_xlfn.XLOOKUP(Table3[[#This Row],[pdg_zonecode]],Zones!A:A,Zones!B:B)</calculatedColumnFormula>
    </tableColumn>
    <tableColumn id="7" xr3:uid="{CCF5D92B-4043-465B-94D9-D1587BEC25F3}" name="address1_line1"/>
    <tableColumn id="8" xr3:uid="{C0CF5828-3EE6-4356-81D5-F2EA1CF7B2CE}" name="address1_line2"/>
    <tableColumn id="9" xr3:uid="{0719B669-0060-4A48-B760-C81C98BDA865}" name="telephone1"/>
    <tableColumn id="10" xr3:uid="{FE1DDCE4-19E9-474D-8942-814E2002D6E2}" name="telephone2"/>
    <tableColumn id="11" xr3:uid="{09F91DD3-F0F9-49A3-93B7-7C3F1A80B59A}" name="fax"/>
    <tableColumn id="12" xr3:uid="{2FBC37D7-6D5A-40F5-8468-DBAC592A0BA2}" name="pdg_creditdays"/>
    <tableColumn id="13" xr3:uid="{E9ED3485-D08E-4047-B273-823DB4D35369}" name="contact_name"/>
    <tableColumn id="14" xr3:uid="{EEE7A055-41D5-4730-B53F-C15F4B824A93}" name="statecode"/>
    <tableColumn id="15" xr3:uid="{DE9C93E4-254E-4400-B7A1-2B28FAFCEA89}" name="statuscod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43D17F-679C-487C-8D2A-2FBE8D35C8F8}" name="Table2" displayName="Table2" ref="A1:E88" totalsRowShown="0" headerRowDxfId="2" headerRowBorderDxfId="1" tableBorderDxfId="0">
  <autoFilter ref="A1:E88" xr:uid="{3C43D17F-679C-487C-8D2A-2FBE8D35C8F8}"/>
  <sortState xmlns:xlrd2="http://schemas.microsoft.com/office/spreadsheetml/2017/richdata2" ref="A2:E88">
    <sortCondition ref="B1:B88"/>
  </sortState>
  <tableColumns count="5">
    <tableColumn id="1" xr3:uid="{502F19A5-4B1E-4F23-B9B2-4D9E0909C1F1}" name="code"/>
    <tableColumn id="2" xr3:uid="{47B39E09-CD7C-4AD8-B1A0-A3784F096A25}" name="name"/>
    <tableColumn id="3" xr3:uid="{22AE6C53-9262-4625-8707-E33020A65B37}" name="Level"/>
    <tableColumn id="4" xr3:uid="{2C57D488-7E57-4986-9523-E84BE7B8E1D7}" name="ParentCode"/>
    <tableColumn id="5" xr3:uid="{672E9CE1-C7D1-4C01-96A7-6F9815918827}" name="ParentNam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631E6A-A538-4423-9B46-01A55184E463}" name="Table1" displayName="Table1" ref="A1:H4" totalsRowShown="0">
  <autoFilter ref="A1:H4" xr:uid="{AC631E6A-A538-4423-9B46-01A55184E463}"/>
  <tableColumns count="8">
    <tableColumn id="1" xr3:uid="{DCFA85F3-5684-48FE-85DD-F0AECBFC14CD}" name="code"/>
    <tableColumn id="2" xr3:uid="{19BAFF13-46B2-4D4B-AEA3-05B9B8540296}" name="desc"/>
    <tableColumn id="3" xr3:uid="{82C03B70-152C-4B8B-B15B-71666CEDD976}" name="cyea"/>
    <tableColumn id="4" xr3:uid="{1A33E729-C1A9-4CCB-ABB4-CD18B92BDD47}" name="lyea"/>
    <tableColumn id="5" xr3:uid="{8323123C-FAD3-437A-82B1-90A0809DB87F}" name="lyea1"/>
    <tableColumn id="6" xr3:uid="{75A502B3-3904-414B-A1B7-E34A14721428}" name="lyea2"/>
    <tableColumn id="7" xr3:uid="{10CA6CE6-9E00-4B7A-8A44-7D9750A13003}" name="lyea3"/>
    <tableColumn id="8" xr3:uid="{8100F5EE-CD29-48F1-8CEC-8CF8E5CECE14}" name="lyea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9"/>
  <sheetViews>
    <sheetView tabSelected="1" topLeftCell="A10" workbookViewId="0">
      <selection activeCell="A37" sqref="A37:XFD37"/>
    </sheetView>
  </sheetViews>
  <sheetFormatPr defaultRowHeight="14.5" x14ac:dyDescent="0.35"/>
  <cols>
    <col min="1" max="1" width="16.08984375" bestFit="1" customWidth="1"/>
    <col min="2" max="2" width="33.6328125" bestFit="1" customWidth="1"/>
    <col min="3" max="3" width="18.08984375" customWidth="1"/>
    <col min="4" max="4" width="21.81640625" customWidth="1"/>
    <col min="5" max="5" width="17.54296875" bestFit="1" customWidth="1"/>
    <col min="6" max="6" width="18.26953125" bestFit="1" customWidth="1"/>
    <col min="7" max="7" width="40.81640625" bestFit="1" customWidth="1"/>
    <col min="8" max="8" width="29.08984375" customWidth="1"/>
    <col min="9" max="9" width="22.453125" customWidth="1"/>
    <col min="10" max="12" width="13.90625" bestFit="1" customWidth="1"/>
    <col min="13" max="13" width="15.54296875" customWidth="1"/>
    <col min="14" max="14" width="14.81640625" customWidth="1"/>
    <col min="15" max="15" width="11.08984375" customWidth="1"/>
    <col min="16" max="16" width="12" customWidth="1"/>
  </cols>
  <sheetData>
    <row r="1" spans="1:15" x14ac:dyDescent="0.3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905</v>
      </c>
      <c r="F2" t="str">
        <f>_xlfn.XLOOKUP(Table3[[#This Row],[pdg_zonecode]],Zones!A:A,Zones!B:B)</f>
        <v>FRIBOURG</v>
      </c>
      <c r="G2" t="s">
        <v>20</v>
      </c>
      <c r="L2">
        <v>0</v>
      </c>
      <c r="N2">
        <v>0</v>
      </c>
      <c r="O2">
        <v>1</v>
      </c>
    </row>
    <row r="3" spans="1:15" x14ac:dyDescent="0.35">
      <c r="A3" t="s">
        <v>54</v>
      </c>
      <c r="B3" t="s">
        <v>55</v>
      </c>
      <c r="C3" t="s">
        <v>17</v>
      </c>
      <c r="D3" t="s">
        <v>18</v>
      </c>
      <c r="E3" t="s">
        <v>916</v>
      </c>
      <c r="F3" t="str">
        <f>_xlfn.XLOOKUP(Table3[[#This Row],[pdg_zonecode]],Zones!A:A,Zones!B:B)</f>
        <v>GENEVE</v>
      </c>
      <c r="G3" t="s">
        <v>56</v>
      </c>
      <c r="H3" t="s">
        <v>57</v>
      </c>
      <c r="I3" t="s">
        <v>58</v>
      </c>
      <c r="K3" t="s">
        <v>59</v>
      </c>
      <c r="L3">
        <v>0</v>
      </c>
      <c r="N3">
        <v>0</v>
      </c>
      <c r="O3">
        <v>1</v>
      </c>
    </row>
    <row r="4" spans="1:15" x14ac:dyDescent="0.35">
      <c r="A4" t="s">
        <v>340</v>
      </c>
      <c r="B4" t="s">
        <v>341</v>
      </c>
      <c r="C4" t="s">
        <v>27</v>
      </c>
      <c r="D4" t="s">
        <v>28</v>
      </c>
      <c r="E4" t="s">
        <v>902</v>
      </c>
      <c r="F4" t="str">
        <f>_xlfn.XLOOKUP(Table3[[#This Row],[pdg_zonecode]],Zones!A:A,Zones!B:B)</f>
        <v>LEBANON</v>
      </c>
      <c r="I4" t="s">
        <v>342</v>
      </c>
      <c r="L4">
        <v>0</v>
      </c>
      <c r="N4">
        <v>0</v>
      </c>
      <c r="O4">
        <v>1</v>
      </c>
    </row>
    <row r="5" spans="1:15" x14ac:dyDescent="0.35">
      <c r="A5" t="s">
        <v>35</v>
      </c>
      <c r="B5" t="s">
        <v>343</v>
      </c>
      <c r="C5" t="s">
        <v>27</v>
      </c>
      <c r="D5" t="s">
        <v>28</v>
      </c>
      <c r="E5" t="s">
        <v>902</v>
      </c>
      <c r="F5" t="str">
        <f>_xlfn.XLOOKUP(Table3[[#This Row],[pdg_zonecode]],Zones!A:A,Zones!B:B)</f>
        <v>LEBANON</v>
      </c>
      <c r="L5">
        <v>0</v>
      </c>
      <c r="N5">
        <v>0</v>
      </c>
      <c r="O5">
        <v>1</v>
      </c>
    </row>
    <row r="6" spans="1:15" x14ac:dyDescent="0.35">
      <c r="A6" t="s">
        <v>344</v>
      </c>
      <c r="B6" t="s">
        <v>345</v>
      </c>
      <c r="C6" t="s">
        <v>27</v>
      </c>
      <c r="D6" t="s">
        <v>28</v>
      </c>
      <c r="E6" t="s">
        <v>902</v>
      </c>
      <c r="F6" t="str">
        <f>_xlfn.XLOOKUP(Table3[[#This Row],[pdg_zonecode]],Zones!A:A,Zones!B:B)</f>
        <v>LEBANON</v>
      </c>
      <c r="I6" t="s">
        <v>346</v>
      </c>
      <c r="L6">
        <v>0</v>
      </c>
      <c r="N6">
        <v>0</v>
      </c>
      <c r="O6">
        <v>1</v>
      </c>
    </row>
    <row r="7" spans="1:15" x14ac:dyDescent="0.35">
      <c r="A7" t="s">
        <v>347</v>
      </c>
      <c r="B7" t="s">
        <v>348</v>
      </c>
      <c r="C7" t="s">
        <v>27</v>
      </c>
      <c r="D7" t="s">
        <v>28</v>
      </c>
      <c r="E7" t="s">
        <v>910</v>
      </c>
      <c r="F7" t="str">
        <f>_xlfn.XLOOKUP(Table3[[#This Row],[pdg_zonecode]],Zones!A:A,Zones!B:B)</f>
        <v>BEYROUTH</v>
      </c>
      <c r="I7" t="s">
        <v>349</v>
      </c>
      <c r="L7">
        <v>0</v>
      </c>
      <c r="N7">
        <v>0</v>
      </c>
      <c r="O7">
        <v>1</v>
      </c>
    </row>
    <row r="8" spans="1:15" x14ac:dyDescent="0.35">
      <c r="A8" t="s">
        <v>350</v>
      </c>
      <c r="B8" t="s">
        <v>351</v>
      </c>
      <c r="C8" t="s">
        <v>27</v>
      </c>
      <c r="D8" t="s">
        <v>28</v>
      </c>
      <c r="E8" t="s">
        <v>902</v>
      </c>
      <c r="F8" t="str">
        <f>_xlfn.XLOOKUP(Table3[[#This Row],[pdg_zonecode]],Zones!A:A,Zones!B:B)</f>
        <v>LEBANON</v>
      </c>
      <c r="L8">
        <v>0</v>
      </c>
      <c r="N8">
        <v>0</v>
      </c>
      <c r="O8">
        <v>1</v>
      </c>
    </row>
    <row r="9" spans="1:15" x14ac:dyDescent="0.35">
      <c r="A9" t="s">
        <v>352</v>
      </c>
      <c r="B9" t="s">
        <v>353</v>
      </c>
      <c r="C9" t="s">
        <v>27</v>
      </c>
      <c r="D9" t="s">
        <v>28</v>
      </c>
      <c r="E9" t="s">
        <v>902</v>
      </c>
      <c r="F9" t="str">
        <f>_xlfn.XLOOKUP(Table3[[#This Row],[pdg_zonecode]],Zones!A:A,Zones!B:B)</f>
        <v>LEBANON</v>
      </c>
      <c r="L9">
        <v>0</v>
      </c>
      <c r="N9">
        <v>0</v>
      </c>
      <c r="O9">
        <v>1</v>
      </c>
    </row>
    <row r="10" spans="1:15" x14ac:dyDescent="0.35">
      <c r="A10" t="s">
        <v>354</v>
      </c>
      <c r="B10" t="s">
        <v>355</v>
      </c>
      <c r="C10" t="s">
        <v>27</v>
      </c>
      <c r="D10" t="s">
        <v>28</v>
      </c>
      <c r="E10" t="s">
        <v>902</v>
      </c>
      <c r="F10" t="str">
        <f>_xlfn.XLOOKUP(Table3[[#This Row],[pdg_zonecode]],Zones!A:A,Zones!B:B)</f>
        <v>LEBANON</v>
      </c>
      <c r="L10">
        <v>0</v>
      </c>
      <c r="N10">
        <v>0</v>
      </c>
      <c r="O10">
        <v>1</v>
      </c>
    </row>
    <row r="11" spans="1:15" x14ac:dyDescent="0.35">
      <c r="A11" t="s">
        <v>356</v>
      </c>
      <c r="B11" t="s">
        <v>357</v>
      </c>
      <c r="C11" t="s">
        <v>27</v>
      </c>
      <c r="D11" t="s">
        <v>28</v>
      </c>
      <c r="E11" t="s">
        <v>902</v>
      </c>
      <c r="F11" t="str">
        <f>_xlfn.XLOOKUP(Table3[[#This Row],[pdg_zonecode]],Zones!A:A,Zones!B:B)</f>
        <v>LEBANON</v>
      </c>
      <c r="L11">
        <v>0</v>
      </c>
      <c r="N11">
        <v>0</v>
      </c>
      <c r="O11">
        <v>1</v>
      </c>
    </row>
    <row r="12" spans="1:15" x14ac:dyDescent="0.35">
      <c r="A12" t="s">
        <v>358</v>
      </c>
      <c r="B12" t="s">
        <v>359</v>
      </c>
      <c r="C12" t="s">
        <v>27</v>
      </c>
      <c r="D12" t="s">
        <v>28</v>
      </c>
      <c r="E12" t="s">
        <v>902</v>
      </c>
      <c r="F12" t="str">
        <f>_xlfn.XLOOKUP(Table3[[#This Row],[pdg_zonecode]],Zones!A:A,Zones!B:B)</f>
        <v>LEBANON</v>
      </c>
      <c r="L12">
        <v>0</v>
      </c>
      <c r="N12">
        <v>0</v>
      </c>
      <c r="O12">
        <v>1</v>
      </c>
    </row>
    <row r="13" spans="1:15" x14ac:dyDescent="0.35">
      <c r="A13" t="s">
        <v>360</v>
      </c>
      <c r="B13" t="s">
        <v>361</v>
      </c>
      <c r="C13" t="s">
        <v>27</v>
      </c>
      <c r="D13" t="s">
        <v>28</v>
      </c>
      <c r="E13" t="s">
        <v>902</v>
      </c>
      <c r="F13" t="str">
        <f>_xlfn.XLOOKUP(Table3[[#This Row],[pdg_zonecode]],Zones!A:A,Zones!B:B)</f>
        <v>LEBANON</v>
      </c>
      <c r="L13">
        <v>0</v>
      </c>
      <c r="N13">
        <v>0</v>
      </c>
      <c r="O13">
        <v>1</v>
      </c>
    </row>
    <row r="14" spans="1:15" x14ac:dyDescent="0.35">
      <c r="A14" t="s">
        <v>60</v>
      </c>
      <c r="B14" t="s">
        <v>61</v>
      </c>
      <c r="C14" t="s">
        <v>27</v>
      </c>
      <c r="D14" t="s">
        <v>28</v>
      </c>
      <c r="E14" t="s">
        <v>902</v>
      </c>
      <c r="F14" t="str">
        <f>_xlfn.XLOOKUP(Table3[[#This Row],[pdg_zonecode]],Zones!A:A,Zones!B:B)</f>
        <v>LEBANON</v>
      </c>
      <c r="G14" t="s">
        <v>62</v>
      </c>
      <c r="L14">
        <v>0</v>
      </c>
      <c r="M14" t="s">
        <v>63</v>
      </c>
      <c r="N14">
        <v>0</v>
      </c>
      <c r="O14">
        <v>1</v>
      </c>
    </row>
    <row r="15" spans="1:15" x14ac:dyDescent="0.35">
      <c r="A15" t="s">
        <v>362</v>
      </c>
      <c r="B15" t="s">
        <v>363</v>
      </c>
      <c r="C15" t="s">
        <v>27</v>
      </c>
      <c r="D15" t="s">
        <v>28</v>
      </c>
      <c r="E15" t="s">
        <v>902</v>
      </c>
      <c r="F15" t="str">
        <f>_xlfn.XLOOKUP(Table3[[#This Row],[pdg_zonecode]],Zones!A:A,Zones!B:B)</f>
        <v>LEBANON</v>
      </c>
      <c r="L15">
        <v>0</v>
      </c>
      <c r="N15">
        <v>0</v>
      </c>
      <c r="O15">
        <v>1</v>
      </c>
    </row>
    <row r="16" spans="1:15" x14ac:dyDescent="0.35">
      <c r="A16" t="s">
        <v>364</v>
      </c>
      <c r="B16" t="s">
        <v>365</v>
      </c>
      <c r="C16" t="s">
        <v>27</v>
      </c>
      <c r="D16" t="s">
        <v>28</v>
      </c>
      <c r="E16" t="s">
        <v>902</v>
      </c>
      <c r="F16" t="str">
        <f>_xlfn.XLOOKUP(Table3[[#This Row],[pdg_zonecode]],Zones!A:A,Zones!B:B)</f>
        <v>LEBANON</v>
      </c>
      <c r="L16">
        <v>0</v>
      </c>
      <c r="N16">
        <v>0</v>
      </c>
      <c r="O16">
        <v>1</v>
      </c>
    </row>
    <row r="17" spans="1:15" x14ac:dyDescent="0.35">
      <c r="A17" t="s">
        <v>366</v>
      </c>
      <c r="B17" t="s">
        <v>367</v>
      </c>
      <c r="C17" t="s">
        <v>27</v>
      </c>
      <c r="D17" t="s">
        <v>28</v>
      </c>
      <c r="E17" t="s">
        <v>910</v>
      </c>
      <c r="F17" t="str">
        <f>_xlfn.XLOOKUP(Table3[[#This Row],[pdg_zonecode]],Zones!A:A,Zones!B:B)</f>
        <v>BEYROUTH</v>
      </c>
      <c r="I17" t="s">
        <v>80</v>
      </c>
      <c r="K17" t="s">
        <v>368</v>
      </c>
      <c r="L17">
        <v>0</v>
      </c>
      <c r="N17">
        <v>0</v>
      </c>
      <c r="O17">
        <v>1</v>
      </c>
    </row>
    <row r="18" spans="1:15" x14ac:dyDescent="0.35">
      <c r="A18" t="s">
        <v>369</v>
      </c>
      <c r="B18" t="s">
        <v>370</v>
      </c>
      <c r="C18" t="s">
        <v>27</v>
      </c>
      <c r="D18" t="s">
        <v>28</v>
      </c>
      <c r="E18" t="s">
        <v>910</v>
      </c>
      <c r="F18" t="str">
        <f>_xlfn.XLOOKUP(Table3[[#This Row],[pdg_zonecode]],Zones!A:A,Zones!B:B)</f>
        <v>BEYROUTH</v>
      </c>
      <c r="I18" t="s">
        <v>371</v>
      </c>
      <c r="L18">
        <v>0</v>
      </c>
      <c r="N18">
        <v>0</v>
      </c>
      <c r="O18">
        <v>1</v>
      </c>
    </row>
    <row r="19" spans="1:15" x14ac:dyDescent="0.35">
      <c r="A19" t="s">
        <v>372</v>
      </c>
      <c r="B19" t="s">
        <v>373</v>
      </c>
      <c r="C19" t="s">
        <v>27</v>
      </c>
      <c r="D19" t="s">
        <v>28</v>
      </c>
      <c r="E19" t="s">
        <v>902</v>
      </c>
      <c r="F19" t="str">
        <f>_xlfn.XLOOKUP(Table3[[#This Row],[pdg_zonecode]],Zones!A:A,Zones!B:B)</f>
        <v>LEBANON</v>
      </c>
      <c r="L19">
        <v>0</v>
      </c>
      <c r="N19">
        <v>0</v>
      </c>
      <c r="O19">
        <v>1</v>
      </c>
    </row>
    <row r="20" spans="1:15" x14ac:dyDescent="0.35">
      <c r="A20" t="s">
        <v>374</v>
      </c>
      <c r="B20" t="s">
        <v>375</v>
      </c>
      <c r="C20" t="s">
        <v>27</v>
      </c>
      <c r="D20" t="s">
        <v>28</v>
      </c>
      <c r="E20" t="s">
        <v>910</v>
      </c>
      <c r="F20" t="str">
        <f>_xlfn.XLOOKUP(Table3[[#This Row],[pdg_zonecode]],Zones!A:A,Zones!B:B)</f>
        <v>BEYROUTH</v>
      </c>
      <c r="I20" t="s">
        <v>376</v>
      </c>
      <c r="L20">
        <v>0</v>
      </c>
      <c r="N20">
        <v>0</v>
      </c>
      <c r="O20">
        <v>1</v>
      </c>
    </row>
    <row r="21" spans="1:15" x14ac:dyDescent="0.35">
      <c r="A21" t="s">
        <v>377</v>
      </c>
      <c r="B21" t="s">
        <v>378</v>
      </c>
      <c r="C21" t="s">
        <v>27</v>
      </c>
      <c r="D21" t="s">
        <v>28</v>
      </c>
      <c r="E21" t="s">
        <v>910</v>
      </c>
      <c r="F21" t="str">
        <f>_xlfn.XLOOKUP(Table3[[#This Row],[pdg_zonecode]],Zones!A:A,Zones!B:B)</f>
        <v>BEYROUTH</v>
      </c>
      <c r="I21" t="s">
        <v>379</v>
      </c>
      <c r="L21">
        <v>0</v>
      </c>
      <c r="N21">
        <v>0</v>
      </c>
      <c r="O21">
        <v>1</v>
      </c>
    </row>
    <row r="22" spans="1:15" x14ac:dyDescent="0.35">
      <c r="A22" t="s">
        <v>380</v>
      </c>
      <c r="B22" t="s">
        <v>381</v>
      </c>
      <c r="C22" t="s">
        <v>27</v>
      </c>
      <c r="D22" t="s">
        <v>28</v>
      </c>
      <c r="E22" t="s">
        <v>910</v>
      </c>
      <c r="F22" t="str">
        <f>_xlfn.XLOOKUP(Table3[[#This Row],[pdg_zonecode]],Zones!A:A,Zones!B:B)</f>
        <v>BEYROUTH</v>
      </c>
      <c r="I22" t="s">
        <v>382</v>
      </c>
      <c r="L22">
        <v>0</v>
      </c>
      <c r="N22">
        <v>0</v>
      </c>
      <c r="O22">
        <v>1</v>
      </c>
    </row>
    <row r="23" spans="1:15" x14ac:dyDescent="0.35">
      <c r="A23" t="s">
        <v>383</v>
      </c>
      <c r="B23" t="s">
        <v>384</v>
      </c>
      <c r="C23" t="s">
        <v>27</v>
      </c>
      <c r="D23" t="s">
        <v>28</v>
      </c>
      <c r="E23" t="s">
        <v>910</v>
      </c>
      <c r="F23" t="str">
        <f>_xlfn.XLOOKUP(Table3[[#This Row],[pdg_zonecode]],Zones!A:A,Zones!B:B)</f>
        <v>BEYROUTH</v>
      </c>
      <c r="L23">
        <v>0</v>
      </c>
      <c r="N23">
        <v>0</v>
      </c>
      <c r="O23">
        <v>1</v>
      </c>
    </row>
    <row r="24" spans="1:15" x14ac:dyDescent="0.35">
      <c r="A24" t="s">
        <v>385</v>
      </c>
      <c r="B24" t="s">
        <v>386</v>
      </c>
      <c r="C24" t="s">
        <v>27</v>
      </c>
      <c r="D24" t="s">
        <v>28</v>
      </c>
      <c r="E24" t="s">
        <v>910</v>
      </c>
      <c r="F24" t="str">
        <f>_xlfn.XLOOKUP(Table3[[#This Row],[pdg_zonecode]],Zones!A:A,Zones!B:B)</f>
        <v>BEYROUTH</v>
      </c>
      <c r="L24">
        <v>0</v>
      </c>
      <c r="N24">
        <v>0</v>
      </c>
      <c r="O24">
        <v>1</v>
      </c>
    </row>
    <row r="25" spans="1:15" x14ac:dyDescent="0.35">
      <c r="A25" t="s">
        <v>64</v>
      </c>
      <c r="B25" t="s">
        <v>65</v>
      </c>
      <c r="C25" t="s">
        <v>17</v>
      </c>
      <c r="D25" t="s">
        <v>18</v>
      </c>
      <c r="E25" t="s">
        <v>904</v>
      </c>
      <c r="F25" t="str">
        <f>_xlfn.XLOOKUP(Table3[[#This Row],[pdg_zonecode]],Zones!A:A,Zones!B:B)</f>
        <v>SWITZERLAND</v>
      </c>
      <c r="L25">
        <v>0</v>
      </c>
      <c r="N25">
        <v>0</v>
      </c>
      <c r="O25">
        <v>1</v>
      </c>
    </row>
    <row r="26" spans="1:15" x14ac:dyDescent="0.35">
      <c r="A26" t="s">
        <v>387</v>
      </c>
      <c r="B26" t="s">
        <v>388</v>
      </c>
      <c r="C26" t="s">
        <v>27</v>
      </c>
      <c r="D26" t="s">
        <v>28</v>
      </c>
      <c r="E26" t="s">
        <v>910</v>
      </c>
      <c r="F26" t="str">
        <f>_xlfn.XLOOKUP(Table3[[#This Row],[pdg_zonecode]],Zones!A:A,Zones!B:B)</f>
        <v>BEYROUTH</v>
      </c>
      <c r="I26" t="s">
        <v>389</v>
      </c>
      <c r="L26">
        <v>0</v>
      </c>
      <c r="N26">
        <v>0</v>
      </c>
      <c r="O26">
        <v>1</v>
      </c>
    </row>
    <row r="27" spans="1:15" x14ac:dyDescent="0.35">
      <c r="A27" t="s">
        <v>390</v>
      </c>
      <c r="B27" t="s">
        <v>391</v>
      </c>
      <c r="C27" t="s">
        <v>27</v>
      </c>
      <c r="D27" t="s">
        <v>28</v>
      </c>
      <c r="E27" t="s">
        <v>910</v>
      </c>
      <c r="F27" t="str">
        <f>_xlfn.XLOOKUP(Table3[[#This Row],[pdg_zonecode]],Zones!A:A,Zones!B:B)</f>
        <v>BEYROUTH</v>
      </c>
      <c r="L27">
        <v>0</v>
      </c>
      <c r="N27">
        <v>0</v>
      </c>
      <c r="O27">
        <v>1</v>
      </c>
    </row>
    <row r="28" spans="1:15" x14ac:dyDescent="0.35">
      <c r="A28" t="s">
        <v>392</v>
      </c>
      <c r="B28" t="s">
        <v>393</v>
      </c>
      <c r="C28" t="s">
        <v>27</v>
      </c>
      <c r="D28" t="s">
        <v>28</v>
      </c>
      <c r="E28" t="s">
        <v>910</v>
      </c>
      <c r="F28" t="str">
        <f>_xlfn.XLOOKUP(Table3[[#This Row],[pdg_zonecode]],Zones!A:A,Zones!B:B)</f>
        <v>BEYROUTH</v>
      </c>
      <c r="L28">
        <v>0</v>
      </c>
      <c r="N28">
        <v>0</v>
      </c>
      <c r="O28">
        <v>1</v>
      </c>
    </row>
    <row r="29" spans="1:15" x14ac:dyDescent="0.35">
      <c r="A29" t="s">
        <v>394</v>
      </c>
      <c r="B29" t="s">
        <v>395</v>
      </c>
      <c r="C29" t="s">
        <v>27</v>
      </c>
      <c r="D29" t="s">
        <v>28</v>
      </c>
      <c r="E29" t="s">
        <v>910</v>
      </c>
      <c r="F29" t="str">
        <f>_xlfn.XLOOKUP(Table3[[#This Row],[pdg_zonecode]],Zones!A:A,Zones!B:B)</f>
        <v>BEYROUTH</v>
      </c>
      <c r="L29">
        <v>0</v>
      </c>
      <c r="N29">
        <v>0</v>
      </c>
      <c r="O29">
        <v>1</v>
      </c>
    </row>
    <row r="30" spans="1:15" x14ac:dyDescent="0.35">
      <c r="A30" t="s">
        <v>396</v>
      </c>
      <c r="B30" t="s">
        <v>397</v>
      </c>
      <c r="C30" t="s">
        <v>27</v>
      </c>
      <c r="D30" t="s">
        <v>28</v>
      </c>
      <c r="E30" t="s">
        <v>910</v>
      </c>
      <c r="F30" t="str">
        <f>_xlfn.XLOOKUP(Table3[[#This Row],[pdg_zonecode]],Zones!A:A,Zones!B:B)</f>
        <v>BEYROUTH</v>
      </c>
      <c r="L30">
        <v>0</v>
      </c>
      <c r="N30">
        <v>0</v>
      </c>
      <c r="O30">
        <v>1</v>
      </c>
    </row>
    <row r="31" spans="1:15" x14ac:dyDescent="0.35">
      <c r="A31" t="s">
        <v>398</v>
      </c>
      <c r="B31" t="s">
        <v>399</v>
      </c>
      <c r="C31" t="s">
        <v>27</v>
      </c>
      <c r="D31" t="s">
        <v>28</v>
      </c>
      <c r="E31" t="s">
        <v>910</v>
      </c>
      <c r="F31" t="str">
        <f>_xlfn.XLOOKUP(Table3[[#This Row],[pdg_zonecode]],Zones!A:A,Zones!B:B)</f>
        <v>BEYROUTH</v>
      </c>
      <c r="L31">
        <v>0</v>
      </c>
      <c r="N31">
        <v>0</v>
      </c>
      <c r="O31">
        <v>1</v>
      </c>
    </row>
    <row r="32" spans="1:15" x14ac:dyDescent="0.35">
      <c r="A32" t="s">
        <v>400</v>
      </c>
      <c r="B32" t="s">
        <v>401</v>
      </c>
      <c r="C32" t="s">
        <v>27</v>
      </c>
      <c r="D32" t="s">
        <v>28</v>
      </c>
      <c r="E32" t="s">
        <v>910</v>
      </c>
      <c r="F32" t="str">
        <f>_xlfn.XLOOKUP(Table3[[#This Row],[pdg_zonecode]],Zones!A:A,Zones!B:B)</f>
        <v>BEYROUTH</v>
      </c>
      <c r="L32">
        <v>0</v>
      </c>
      <c r="N32">
        <v>0</v>
      </c>
      <c r="O32">
        <v>1</v>
      </c>
    </row>
    <row r="33" spans="1:15" x14ac:dyDescent="0.35">
      <c r="A33" t="s">
        <v>402</v>
      </c>
      <c r="B33" t="s">
        <v>403</v>
      </c>
      <c r="C33" t="s">
        <v>23</v>
      </c>
      <c r="D33" t="s">
        <v>24</v>
      </c>
      <c r="E33" t="s">
        <v>910</v>
      </c>
      <c r="F33" t="str">
        <f>_xlfn.XLOOKUP(Table3[[#This Row],[pdg_zonecode]],Zones!A:A,Zones!B:B)</f>
        <v>BEYROUTH</v>
      </c>
      <c r="I33" t="s">
        <v>404</v>
      </c>
      <c r="L33">
        <v>0</v>
      </c>
      <c r="N33">
        <v>0</v>
      </c>
      <c r="O33">
        <v>1</v>
      </c>
    </row>
    <row r="34" spans="1:15" x14ac:dyDescent="0.35">
      <c r="A34" t="s">
        <v>405</v>
      </c>
      <c r="B34" t="s">
        <v>406</v>
      </c>
      <c r="C34" t="s">
        <v>27</v>
      </c>
      <c r="D34" t="s">
        <v>28</v>
      </c>
      <c r="E34" t="s">
        <v>910</v>
      </c>
      <c r="F34" t="str">
        <f>_xlfn.XLOOKUP(Table3[[#This Row],[pdg_zonecode]],Zones!A:A,Zones!B:B)</f>
        <v>BEYROUTH</v>
      </c>
      <c r="I34" t="s">
        <v>407</v>
      </c>
      <c r="L34">
        <v>0</v>
      </c>
      <c r="N34">
        <v>0</v>
      </c>
      <c r="O34">
        <v>1</v>
      </c>
    </row>
    <row r="35" spans="1:15" x14ac:dyDescent="0.35">
      <c r="A35" t="s">
        <v>408</v>
      </c>
      <c r="B35" t="s">
        <v>409</v>
      </c>
      <c r="C35" t="s">
        <v>27</v>
      </c>
      <c r="D35" t="s">
        <v>28</v>
      </c>
      <c r="E35" t="s">
        <v>910</v>
      </c>
      <c r="F35" t="str">
        <f>_xlfn.XLOOKUP(Table3[[#This Row],[pdg_zonecode]],Zones!A:A,Zones!B:B)</f>
        <v>BEYROUTH</v>
      </c>
      <c r="L35">
        <v>0</v>
      </c>
      <c r="N35">
        <v>0</v>
      </c>
      <c r="O35">
        <v>1</v>
      </c>
    </row>
    <row r="36" spans="1:15" x14ac:dyDescent="0.35">
      <c r="A36" t="s">
        <v>66</v>
      </c>
      <c r="B36" t="s">
        <v>67</v>
      </c>
      <c r="C36" t="s">
        <v>17</v>
      </c>
      <c r="D36" t="s">
        <v>18</v>
      </c>
      <c r="E36" t="s">
        <v>920</v>
      </c>
      <c r="F36" t="str">
        <f>_xlfn.XLOOKUP(Table3[[#This Row],[pdg_zonecode]],Zones!A:A,Zones!B:B)</f>
        <v>GERMANY</v>
      </c>
      <c r="L36">
        <v>0</v>
      </c>
      <c r="N36">
        <v>0</v>
      </c>
      <c r="O36">
        <v>1</v>
      </c>
    </row>
    <row r="37" spans="1:15" x14ac:dyDescent="0.35">
      <c r="A37" t="s">
        <v>410</v>
      </c>
      <c r="B37" t="s">
        <v>411</v>
      </c>
      <c r="C37" t="s">
        <v>27</v>
      </c>
      <c r="D37" t="s">
        <v>28</v>
      </c>
      <c r="E37" t="s">
        <v>910</v>
      </c>
      <c r="F37" t="str">
        <f>_xlfn.XLOOKUP(Table3[[#This Row],[pdg_zonecode]],Zones!A:A,Zones!B:B)</f>
        <v>BEYROUTH</v>
      </c>
      <c r="G37" t="s">
        <v>412</v>
      </c>
      <c r="H37" t="s">
        <v>413</v>
      </c>
      <c r="I37" t="s">
        <v>414</v>
      </c>
      <c r="J37" t="s">
        <v>415</v>
      </c>
      <c r="K37" t="s">
        <v>414</v>
      </c>
      <c r="L37">
        <v>0</v>
      </c>
      <c r="N37">
        <v>0</v>
      </c>
      <c r="O37">
        <v>1</v>
      </c>
    </row>
    <row r="38" spans="1:15" x14ac:dyDescent="0.35">
      <c r="A38" t="s">
        <v>416</v>
      </c>
      <c r="B38" t="s">
        <v>417</v>
      </c>
      <c r="C38" t="s">
        <v>27</v>
      </c>
      <c r="D38" t="s">
        <v>28</v>
      </c>
      <c r="E38" t="s">
        <v>910</v>
      </c>
      <c r="F38" t="str">
        <f>_xlfn.XLOOKUP(Table3[[#This Row],[pdg_zonecode]],Zones!A:A,Zones!B:B)</f>
        <v>BEYROUTH</v>
      </c>
      <c r="I38" t="s">
        <v>418</v>
      </c>
      <c r="K38" t="s">
        <v>235</v>
      </c>
      <c r="L38">
        <v>0</v>
      </c>
      <c r="N38">
        <v>0</v>
      </c>
      <c r="O38">
        <v>1</v>
      </c>
    </row>
    <row r="39" spans="1:15" x14ac:dyDescent="0.35">
      <c r="A39" t="s">
        <v>419</v>
      </c>
      <c r="B39" t="s">
        <v>420</v>
      </c>
      <c r="C39" t="s">
        <v>27</v>
      </c>
      <c r="D39" t="s">
        <v>28</v>
      </c>
      <c r="E39" t="s">
        <v>910</v>
      </c>
      <c r="F39" t="str">
        <f>_xlfn.XLOOKUP(Table3[[#This Row],[pdg_zonecode]],Zones!A:A,Zones!B:B)</f>
        <v>BEYROUTH</v>
      </c>
      <c r="L39">
        <v>0</v>
      </c>
      <c r="N39">
        <v>0</v>
      </c>
      <c r="O39">
        <v>1</v>
      </c>
    </row>
    <row r="40" spans="1:15" x14ac:dyDescent="0.35">
      <c r="A40" t="s">
        <v>421</v>
      </c>
      <c r="B40" t="s">
        <v>422</v>
      </c>
      <c r="C40" t="s">
        <v>27</v>
      </c>
      <c r="D40" t="s">
        <v>28</v>
      </c>
      <c r="E40" t="s">
        <v>910</v>
      </c>
      <c r="F40" t="str">
        <f>_xlfn.XLOOKUP(Table3[[#This Row],[pdg_zonecode]],Zones!A:A,Zones!B:B)</f>
        <v>BEYROUTH</v>
      </c>
      <c r="I40" t="s">
        <v>423</v>
      </c>
      <c r="L40">
        <v>0</v>
      </c>
      <c r="N40">
        <v>0</v>
      </c>
      <c r="O40">
        <v>1</v>
      </c>
    </row>
    <row r="41" spans="1:15" x14ac:dyDescent="0.35">
      <c r="A41" t="s">
        <v>424</v>
      </c>
      <c r="B41" t="s">
        <v>425</v>
      </c>
      <c r="C41" t="s">
        <v>27</v>
      </c>
      <c r="D41" t="s">
        <v>28</v>
      </c>
      <c r="E41" t="s">
        <v>910</v>
      </c>
      <c r="F41" t="str">
        <f>_xlfn.XLOOKUP(Table3[[#This Row],[pdg_zonecode]],Zones!A:A,Zones!B:B)</f>
        <v>BEYROUTH</v>
      </c>
      <c r="L41">
        <v>0</v>
      </c>
      <c r="N41">
        <v>0</v>
      </c>
      <c r="O41">
        <v>1</v>
      </c>
    </row>
    <row r="42" spans="1:15" x14ac:dyDescent="0.35">
      <c r="A42" t="s">
        <v>426</v>
      </c>
      <c r="B42" t="s">
        <v>427</v>
      </c>
      <c r="C42" t="s">
        <v>27</v>
      </c>
      <c r="D42" t="s">
        <v>28</v>
      </c>
      <c r="E42" t="s">
        <v>910</v>
      </c>
      <c r="F42" t="str">
        <f>_xlfn.XLOOKUP(Table3[[#This Row],[pdg_zonecode]],Zones!A:A,Zones!B:B)</f>
        <v>BEYROUTH</v>
      </c>
      <c r="L42">
        <v>0</v>
      </c>
      <c r="N42">
        <v>0</v>
      </c>
      <c r="O42">
        <v>1</v>
      </c>
    </row>
    <row r="43" spans="1:15" x14ac:dyDescent="0.35">
      <c r="A43" t="s">
        <v>428</v>
      </c>
      <c r="B43" t="s">
        <v>429</v>
      </c>
      <c r="C43" t="s">
        <v>27</v>
      </c>
      <c r="D43" t="s">
        <v>28</v>
      </c>
      <c r="E43" t="s">
        <v>910</v>
      </c>
      <c r="F43" t="str">
        <f>_xlfn.XLOOKUP(Table3[[#This Row],[pdg_zonecode]],Zones!A:A,Zones!B:B)</f>
        <v>BEYROUTH</v>
      </c>
      <c r="L43">
        <v>0</v>
      </c>
      <c r="N43">
        <v>0</v>
      </c>
      <c r="O43">
        <v>1</v>
      </c>
    </row>
    <row r="44" spans="1:15" x14ac:dyDescent="0.35">
      <c r="A44" t="s">
        <v>430</v>
      </c>
      <c r="B44" t="s">
        <v>431</v>
      </c>
      <c r="C44" t="s">
        <v>17</v>
      </c>
      <c r="D44" t="s">
        <v>18</v>
      </c>
      <c r="E44" t="s">
        <v>86</v>
      </c>
      <c r="F44" t="str">
        <f>_xlfn.XLOOKUP(Table3[[#This Row],[pdg_zonecode]],Zones!A:A,Zones!B:B)</f>
        <v>ITALY</v>
      </c>
      <c r="I44" t="s">
        <v>432</v>
      </c>
      <c r="K44" t="s">
        <v>433</v>
      </c>
      <c r="L44">
        <v>0</v>
      </c>
      <c r="N44">
        <v>0</v>
      </c>
      <c r="O44">
        <v>1</v>
      </c>
    </row>
    <row r="45" spans="1:15" x14ac:dyDescent="0.35">
      <c r="A45" t="s">
        <v>434</v>
      </c>
      <c r="B45" t="s">
        <v>435</v>
      </c>
      <c r="C45" t="s">
        <v>27</v>
      </c>
      <c r="D45" t="s">
        <v>28</v>
      </c>
      <c r="E45" t="s">
        <v>910</v>
      </c>
      <c r="F45" t="str">
        <f>_xlfn.XLOOKUP(Table3[[#This Row],[pdg_zonecode]],Zones!A:A,Zones!B:B)</f>
        <v>BEYROUTH</v>
      </c>
      <c r="I45" t="s">
        <v>436</v>
      </c>
      <c r="L45">
        <v>0</v>
      </c>
      <c r="N45">
        <v>0</v>
      </c>
      <c r="O45">
        <v>1</v>
      </c>
    </row>
    <row r="46" spans="1:15" x14ac:dyDescent="0.35">
      <c r="A46" t="s">
        <v>437</v>
      </c>
      <c r="B46" t="s">
        <v>438</v>
      </c>
      <c r="C46" t="s">
        <v>27</v>
      </c>
      <c r="D46" t="s">
        <v>28</v>
      </c>
      <c r="E46" t="s">
        <v>910</v>
      </c>
      <c r="F46" t="str">
        <f>_xlfn.XLOOKUP(Table3[[#This Row],[pdg_zonecode]],Zones!A:A,Zones!B:B)</f>
        <v>BEYROUTH</v>
      </c>
      <c r="I46" t="s">
        <v>439</v>
      </c>
      <c r="L46">
        <v>0</v>
      </c>
      <c r="N46">
        <v>0</v>
      </c>
      <c r="O46">
        <v>1</v>
      </c>
    </row>
    <row r="47" spans="1:15" x14ac:dyDescent="0.35">
      <c r="A47" t="s">
        <v>68</v>
      </c>
      <c r="B47" t="s">
        <v>69</v>
      </c>
      <c r="C47" t="s">
        <v>27</v>
      </c>
      <c r="D47" t="s">
        <v>28</v>
      </c>
      <c r="E47" t="s">
        <v>910</v>
      </c>
      <c r="F47" t="str">
        <f>_xlfn.XLOOKUP(Table3[[#This Row],[pdg_zonecode]],Zones!A:A,Zones!B:B)</f>
        <v>BEYROUTH</v>
      </c>
      <c r="L47">
        <v>0</v>
      </c>
      <c r="N47">
        <v>0</v>
      </c>
      <c r="O47">
        <v>1</v>
      </c>
    </row>
    <row r="48" spans="1:15" x14ac:dyDescent="0.35">
      <c r="A48" t="s">
        <v>440</v>
      </c>
      <c r="B48" t="s">
        <v>441</v>
      </c>
      <c r="C48" t="s">
        <v>17</v>
      </c>
      <c r="D48" t="s">
        <v>18</v>
      </c>
      <c r="E48" t="s">
        <v>66</v>
      </c>
      <c r="F48" t="str">
        <f>_xlfn.XLOOKUP(Table3[[#This Row],[pdg_zonecode]],Zones!A:A,Zones!B:B)</f>
        <v>KUWAIT</v>
      </c>
      <c r="L48">
        <v>0</v>
      </c>
      <c r="N48">
        <v>0</v>
      </c>
      <c r="O48">
        <v>1</v>
      </c>
    </row>
    <row r="49" spans="1:15" x14ac:dyDescent="0.35">
      <c r="A49" t="s">
        <v>442</v>
      </c>
      <c r="B49" t="s">
        <v>443</v>
      </c>
      <c r="C49" t="s">
        <v>27</v>
      </c>
      <c r="D49" t="s">
        <v>28</v>
      </c>
      <c r="E49" t="s">
        <v>910</v>
      </c>
      <c r="F49" t="str">
        <f>_xlfn.XLOOKUP(Table3[[#This Row],[pdg_zonecode]],Zones!A:A,Zones!B:B)</f>
        <v>BEYROUTH</v>
      </c>
      <c r="I49" t="s">
        <v>444</v>
      </c>
      <c r="L49">
        <v>0</v>
      </c>
      <c r="N49">
        <v>0</v>
      </c>
      <c r="O49">
        <v>1</v>
      </c>
    </row>
    <row r="50" spans="1:15" x14ac:dyDescent="0.35">
      <c r="A50" t="s">
        <v>445</v>
      </c>
      <c r="B50" t="s">
        <v>446</v>
      </c>
      <c r="C50" t="s">
        <v>17</v>
      </c>
      <c r="D50" t="s">
        <v>18</v>
      </c>
      <c r="E50" t="s">
        <v>904</v>
      </c>
      <c r="F50" t="str">
        <f>_xlfn.XLOOKUP(Table3[[#This Row],[pdg_zonecode]],Zones!A:A,Zones!B:B)</f>
        <v>SWITZERLAND</v>
      </c>
      <c r="G50" t="s">
        <v>447</v>
      </c>
      <c r="I50" t="s">
        <v>448</v>
      </c>
      <c r="J50" t="s">
        <v>449</v>
      </c>
      <c r="K50" t="s">
        <v>450</v>
      </c>
      <c r="L50">
        <v>0</v>
      </c>
      <c r="N50">
        <v>0</v>
      </c>
      <c r="O50">
        <v>1</v>
      </c>
    </row>
    <row r="51" spans="1:15" x14ac:dyDescent="0.35">
      <c r="A51" t="s">
        <v>451</v>
      </c>
      <c r="B51" t="s">
        <v>452</v>
      </c>
      <c r="C51" t="s">
        <v>17</v>
      </c>
      <c r="D51" t="s">
        <v>18</v>
      </c>
      <c r="E51" t="s">
        <v>922</v>
      </c>
      <c r="F51" t="str">
        <f>_xlfn.XLOOKUP(Table3[[#This Row],[pdg_zonecode]],Zones!A:A,Zones!B:B)</f>
        <v>BELGIUM</v>
      </c>
      <c r="G51" t="s">
        <v>453</v>
      </c>
      <c r="L51">
        <v>0</v>
      </c>
      <c r="N51">
        <v>0</v>
      </c>
      <c r="O51">
        <v>1</v>
      </c>
    </row>
    <row r="52" spans="1:15" x14ac:dyDescent="0.35">
      <c r="A52" t="s">
        <v>454</v>
      </c>
      <c r="B52" t="s">
        <v>455</v>
      </c>
      <c r="C52" t="s">
        <v>27</v>
      </c>
      <c r="D52" t="s">
        <v>28</v>
      </c>
      <c r="E52" t="s">
        <v>910</v>
      </c>
      <c r="F52" t="str">
        <f>_xlfn.XLOOKUP(Table3[[#This Row],[pdg_zonecode]],Zones!A:A,Zones!B:B)</f>
        <v>BEYROUTH</v>
      </c>
      <c r="I52" t="s">
        <v>456</v>
      </c>
      <c r="L52">
        <v>0</v>
      </c>
      <c r="N52">
        <v>0</v>
      </c>
      <c r="O52">
        <v>1</v>
      </c>
    </row>
    <row r="53" spans="1:15" x14ac:dyDescent="0.35">
      <c r="A53" t="s">
        <v>457</v>
      </c>
      <c r="B53" t="s">
        <v>458</v>
      </c>
      <c r="C53" t="s">
        <v>27</v>
      </c>
      <c r="D53" t="s">
        <v>28</v>
      </c>
      <c r="E53" t="s">
        <v>910</v>
      </c>
      <c r="F53" t="str">
        <f>_xlfn.XLOOKUP(Table3[[#This Row],[pdg_zonecode]],Zones!A:A,Zones!B:B)</f>
        <v>BEYROUTH</v>
      </c>
      <c r="G53" t="s">
        <v>459</v>
      </c>
      <c r="I53" t="s">
        <v>460</v>
      </c>
      <c r="J53" t="s">
        <v>461</v>
      </c>
      <c r="K53" t="s">
        <v>462</v>
      </c>
      <c r="L53">
        <v>0</v>
      </c>
      <c r="N53">
        <v>0</v>
      </c>
      <c r="O53">
        <v>1</v>
      </c>
    </row>
    <row r="54" spans="1:15" x14ac:dyDescent="0.35">
      <c r="A54" t="s">
        <v>463</v>
      </c>
      <c r="B54" t="s">
        <v>464</v>
      </c>
      <c r="C54" t="s">
        <v>27</v>
      </c>
      <c r="D54" t="s">
        <v>28</v>
      </c>
      <c r="E54" t="s">
        <v>910</v>
      </c>
      <c r="F54" t="str">
        <f>_xlfn.XLOOKUP(Table3[[#This Row],[pdg_zonecode]],Zones!A:A,Zones!B:B)</f>
        <v>BEYROUTH</v>
      </c>
      <c r="G54" t="s">
        <v>465</v>
      </c>
      <c r="I54" t="s">
        <v>466</v>
      </c>
      <c r="K54" t="s">
        <v>467</v>
      </c>
      <c r="L54">
        <v>0</v>
      </c>
      <c r="N54">
        <v>0</v>
      </c>
      <c r="O54">
        <v>1</v>
      </c>
    </row>
    <row r="55" spans="1:15" x14ac:dyDescent="0.35">
      <c r="A55" t="s">
        <v>468</v>
      </c>
      <c r="B55" t="s">
        <v>469</v>
      </c>
      <c r="C55" t="s">
        <v>17</v>
      </c>
      <c r="D55" t="s">
        <v>18</v>
      </c>
      <c r="E55" t="s">
        <v>64</v>
      </c>
      <c r="F55" t="str">
        <f>_xlfn.XLOOKUP(Table3[[#This Row],[pdg_zonecode]],Zones!A:A,Zones!B:B)</f>
        <v>U.S.A.</v>
      </c>
      <c r="G55" t="s">
        <v>470</v>
      </c>
      <c r="H55" t="s">
        <v>471</v>
      </c>
      <c r="I55" t="s">
        <v>472</v>
      </c>
      <c r="L55">
        <v>0</v>
      </c>
      <c r="N55">
        <v>0</v>
      </c>
      <c r="O55">
        <v>1</v>
      </c>
    </row>
    <row r="56" spans="1:15" x14ac:dyDescent="0.35">
      <c r="A56" t="s">
        <v>473</v>
      </c>
      <c r="B56" t="s">
        <v>474</v>
      </c>
      <c r="C56" t="s">
        <v>27</v>
      </c>
      <c r="D56" t="s">
        <v>28</v>
      </c>
      <c r="E56" t="s">
        <v>902</v>
      </c>
      <c r="F56" t="str">
        <f>_xlfn.XLOOKUP(Table3[[#This Row],[pdg_zonecode]],Zones!A:A,Zones!B:B)</f>
        <v>LEBANON</v>
      </c>
      <c r="I56" t="s">
        <v>475</v>
      </c>
      <c r="J56" t="s">
        <v>476</v>
      </c>
      <c r="L56">
        <v>0</v>
      </c>
      <c r="N56">
        <v>0</v>
      </c>
      <c r="O56">
        <v>1</v>
      </c>
    </row>
    <row r="57" spans="1:15" x14ac:dyDescent="0.35">
      <c r="A57" t="s">
        <v>477</v>
      </c>
      <c r="B57" t="s">
        <v>478</v>
      </c>
      <c r="C57" t="s">
        <v>27</v>
      </c>
      <c r="D57" t="s">
        <v>28</v>
      </c>
      <c r="E57" t="s">
        <v>902</v>
      </c>
      <c r="F57" t="str">
        <f>_xlfn.XLOOKUP(Table3[[#This Row],[pdg_zonecode]],Zones!A:A,Zones!B:B)</f>
        <v>LEBANON</v>
      </c>
      <c r="L57">
        <v>0</v>
      </c>
      <c r="N57">
        <v>0</v>
      </c>
      <c r="O57">
        <v>1</v>
      </c>
    </row>
    <row r="58" spans="1:15" x14ac:dyDescent="0.35">
      <c r="A58" t="s">
        <v>70</v>
      </c>
      <c r="B58" t="s">
        <v>71</v>
      </c>
      <c r="C58" t="s">
        <v>17</v>
      </c>
      <c r="D58" t="s">
        <v>18</v>
      </c>
      <c r="E58" t="s">
        <v>922</v>
      </c>
      <c r="F58" t="str">
        <f>_xlfn.XLOOKUP(Table3[[#This Row],[pdg_zonecode]],Zones!A:A,Zones!B:B)</f>
        <v>BELGIUM</v>
      </c>
      <c r="L58">
        <v>0</v>
      </c>
      <c r="N58">
        <v>0</v>
      </c>
      <c r="O58">
        <v>1</v>
      </c>
    </row>
    <row r="59" spans="1:15" x14ac:dyDescent="0.35">
      <c r="A59" t="s">
        <v>479</v>
      </c>
      <c r="B59" t="s">
        <v>480</v>
      </c>
      <c r="C59" t="s">
        <v>27</v>
      </c>
      <c r="D59" t="s">
        <v>28</v>
      </c>
      <c r="E59" t="s">
        <v>902</v>
      </c>
      <c r="F59" t="str">
        <f>_xlfn.XLOOKUP(Table3[[#This Row],[pdg_zonecode]],Zones!A:A,Zones!B:B)</f>
        <v>LEBANON</v>
      </c>
      <c r="L59">
        <v>0</v>
      </c>
      <c r="N59">
        <v>0</v>
      </c>
      <c r="O59">
        <v>1</v>
      </c>
    </row>
    <row r="60" spans="1:15" x14ac:dyDescent="0.35">
      <c r="A60" t="s">
        <v>481</v>
      </c>
      <c r="B60" t="s">
        <v>482</v>
      </c>
      <c r="C60" t="s">
        <v>27</v>
      </c>
      <c r="D60" t="s">
        <v>28</v>
      </c>
      <c r="E60" t="s">
        <v>910</v>
      </c>
      <c r="F60" t="str">
        <f>_xlfn.XLOOKUP(Table3[[#This Row],[pdg_zonecode]],Zones!A:A,Zones!B:B)</f>
        <v>BEYROUTH</v>
      </c>
      <c r="I60" t="s">
        <v>483</v>
      </c>
      <c r="L60">
        <v>0</v>
      </c>
      <c r="N60">
        <v>0</v>
      </c>
      <c r="O60">
        <v>1</v>
      </c>
    </row>
    <row r="61" spans="1:15" x14ac:dyDescent="0.35">
      <c r="A61" t="s">
        <v>484</v>
      </c>
      <c r="B61" t="s">
        <v>485</v>
      </c>
      <c r="C61" t="s">
        <v>27</v>
      </c>
      <c r="D61" t="s">
        <v>28</v>
      </c>
      <c r="E61" t="s">
        <v>902</v>
      </c>
      <c r="F61" t="str">
        <f>_xlfn.XLOOKUP(Table3[[#This Row],[pdg_zonecode]],Zones!A:A,Zones!B:B)</f>
        <v>LEBANON</v>
      </c>
      <c r="L61">
        <v>0</v>
      </c>
      <c r="N61">
        <v>0</v>
      </c>
      <c r="O61">
        <v>1</v>
      </c>
    </row>
    <row r="62" spans="1:15" x14ac:dyDescent="0.35">
      <c r="A62" t="s">
        <v>486</v>
      </c>
      <c r="B62" t="s">
        <v>487</v>
      </c>
      <c r="C62" t="s">
        <v>27</v>
      </c>
      <c r="D62" t="s">
        <v>28</v>
      </c>
      <c r="E62" t="s">
        <v>910</v>
      </c>
      <c r="F62" t="str">
        <f>_xlfn.XLOOKUP(Table3[[#This Row],[pdg_zonecode]],Zones!A:A,Zones!B:B)</f>
        <v>BEYROUTH</v>
      </c>
      <c r="I62" t="s">
        <v>488</v>
      </c>
      <c r="L62">
        <v>0</v>
      </c>
      <c r="N62">
        <v>0</v>
      </c>
      <c r="O62">
        <v>1</v>
      </c>
    </row>
    <row r="63" spans="1:15" x14ac:dyDescent="0.35">
      <c r="A63" t="s">
        <v>489</v>
      </c>
      <c r="B63" t="s">
        <v>490</v>
      </c>
      <c r="C63" t="s">
        <v>23</v>
      </c>
      <c r="D63" t="s">
        <v>24</v>
      </c>
      <c r="E63" t="s">
        <v>902</v>
      </c>
      <c r="F63" t="str">
        <f>_xlfn.XLOOKUP(Table3[[#This Row],[pdg_zonecode]],Zones!A:A,Zones!B:B)</f>
        <v>LEBANON</v>
      </c>
      <c r="I63" t="s">
        <v>491</v>
      </c>
      <c r="L63">
        <v>0</v>
      </c>
      <c r="N63">
        <v>0</v>
      </c>
      <c r="O63">
        <v>1</v>
      </c>
    </row>
    <row r="64" spans="1:15" x14ac:dyDescent="0.35">
      <c r="A64" t="s">
        <v>492</v>
      </c>
      <c r="B64" t="s">
        <v>493</v>
      </c>
      <c r="C64" t="s">
        <v>23</v>
      </c>
      <c r="D64" t="s">
        <v>24</v>
      </c>
      <c r="E64" t="s">
        <v>902</v>
      </c>
      <c r="F64" t="str">
        <f>_xlfn.XLOOKUP(Table3[[#This Row],[pdg_zonecode]],Zones!A:A,Zones!B:B)</f>
        <v>LEBANON</v>
      </c>
      <c r="L64">
        <v>0</v>
      </c>
      <c r="N64">
        <v>0</v>
      </c>
      <c r="O64">
        <v>1</v>
      </c>
    </row>
    <row r="65" spans="1:15" x14ac:dyDescent="0.35">
      <c r="A65" t="s">
        <v>494</v>
      </c>
      <c r="B65" t="s">
        <v>495</v>
      </c>
      <c r="C65" t="s">
        <v>23</v>
      </c>
      <c r="D65" t="s">
        <v>24</v>
      </c>
      <c r="E65" t="s">
        <v>902</v>
      </c>
      <c r="F65" t="str">
        <f>_xlfn.XLOOKUP(Table3[[#This Row],[pdg_zonecode]],Zones!A:A,Zones!B:B)</f>
        <v>LEBANON</v>
      </c>
      <c r="L65">
        <v>0</v>
      </c>
      <c r="N65">
        <v>0</v>
      </c>
      <c r="O65">
        <v>1</v>
      </c>
    </row>
    <row r="66" spans="1:15" x14ac:dyDescent="0.35">
      <c r="A66" t="s">
        <v>496</v>
      </c>
      <c r="B66" t="s">
        <v>497</v>
      </c>
      <c r="C66" t="s">
        <v>27</v>
      </c>
      <c r="D66" t="s">
        <v>28</v>
      </c>
      <c r="E66" t="s">
        <v>902</v>
      </c>
      <c r="F66" t="str">
        <f>_xlfn.XLOOKUP(Table3[[#This Row],[pdg_zonecode]],Zones!A:A,Zones!B:B)</f>
        <v>LEBANON</v>
      </c>
      <c r="I66" t="s">
        <v>498</v>
      </c>
      <c r="L66">
        <v>0</v>
      </c>
      <c r="N66">
        <v>0</v>
      </c>
      <c r="O66">
        <v>1</v>
      </c>
    </row>
    <row r="67" spans="1:15" x14ac:dyDescent="0.35">
      <c r="A67" t="s">
        <v>499</v>
      </c>
      <c r="B67" t="s">
        <v>500</v>
      </c>
      <c r="C67" t="s">
        <v>27</v>
      </c>
      <c r="D67" t="s">
        <v>28</v>
      </c>
      <c r="E67" t="s">
        <v>902</v>
      </c>
      <c r="F67" t="str">
        <f>_xlfn.XLOOKUP(Table3[[#This Row],[pdg_zonecode]],Zones!A:A,Zones!B:B)</f>
        <v>LEBANON</v>
      </c>
      <c r="I67" t="s">
        <v>501</v>
      </c>
      <c r="L67">
        <v>0</v>
      </c>
      <c r="N67">
        <v>0</v>
      </c>
      <c r="O67">
        <v>1</v>
      </c>
    </row>
    <row r="68" spans="1:15" x14ac:dyDescent="0.35">
      <c r="A68" t="s">
        <v>502</v>
      </c>
      <c r="B68" t="s">
        <v>503</v>
      </c>
      <c r="C68" t="s">
        <v>27</v>
      </c>
      <c r="D68" t="s">
        <v>28</v>
      </c>
      <c r="E68" t="s">
        <v>902</v>
      </c>
      <c r="F68" t="str">
        <f>_xlfn.XLOOKUP(Table3[[#This Row],[pdg_zonecode]],Zones!A:A,Zones!B:B)</f>
        <v>LEBANON</v>
      </c>
      <c r="I68" t="s">
        <v>504</v>
      </c>
      <c r="L68">
        <v>0</v>
      </c>
      <c r="N68">
        <v>0</v>
      </c>
      <c r="O68">
        <v>1</v>
      </c>
    </row>
    <row r="69" spans="1:15" x14ac:dyDescent="0.35">
      <c r="A69" t="s">
        <v>72</v>
      </c>
      <c r="B69" t="s">
        <v>73</v>
      </c>
      <c r="C69" t="s">
        <v>27</v>
      </c>
      <c r="D69" t="s">
        <v>28</v>
      </c>
      <c r="E69" t="s">
        <v>910</v>
      </c>
      <c r="F69" t="str">
        <f>_xlfn.XLOOKUP(Table3[[#This Row],[pdg_zonecode]],Zones!A:A,Zones!B:B)</f>
        <v>BEYROUTH</v>
      </c>
      <c r="L69">
        <v>0</v>
      </c>
      <c r="N69">
        <v>0</v>
      </c>
      <c r="O69">
        <v>1</v>
      </c>
    </row>
    <row r="70" spans="1:15" x14ac:dyDescent="0.35">
      <c r="A70" t="s">
        <v>505</v>
      </c>
      <c r="B70" t="s">
        <v>506</v>
      </c>
      <c r="C70" t="s">
        <v>27</v>
      </c>
      <c r="D70" t="s">
        <v>28</v>
      </c>
      <c r="E70" t="s">
        <v>910</v>
      </c>
      <c r="F70" t="str">
        <f>_xlfn.XLOOKUP(Table3[[#This Row],[pdg_zonecode]],Zones!A:A,Zones!B:B)</f>
        <v>BEYROUTH</v>
      </c>
      <c r="L70">
        <v>0</v>
      </c>
      <c r="N70">
        <v>0</v>
      </c>
      <c r="O70">
        <v>1</v>
      </c>
    </row>
    <row r="71" spans="1:15" x14ac:dyDescent="0.35">
      <c r="A71" t="s">
        <v>507</v>
      </c>
      <c r="B71" t="s">
        <v>508</v>
      </c>
      <c r="C71" t="s">
        <v>17</v>
      </c>
      <c r="D71" t="s">
        <v>18</v>
      </c>
      <c r="E71" t="s">
        <v>904</v>
      </c>
      <c r="F71" t="str">
        <f>_xlfn.XLOOKUP(Table3[[#This Row],[pdg_zonecode]],Zones!A:A,Zones!B:B)</f>
        <v>SWITZERLAND</v>
      </c>
      <c r="L71">
        <v>0</v>
      </c>
      <c r="N71">
        <v>0</v>
      </c>
      <c r="O71">
        <v>1</v>
      </c>
    </row>
    <row r="72" spans="1:15" x14ac:dyDescent="0.35">
      <c r="A72" t="s">
        <v>509</v>
      </c>
      <c r="B72" t="s">
        <v>510</v>
      </c>
      <c r="C72" t="s">
        <v>27</v>
      </c>
      <c r="D72" t="s">
        <v>28</v>
      </c>
      <c r="E72" t="s">
        <v>902</v>
      </c>
      <c r="F72" t="str">
        <f>_xlfn.XLOOKUP(Table3[[#This Row],[pdg_zonecode]],Zones!A:A,Zones!B:B)</f>
        <v>LEBANON</v>
      </c>
      <c r="I72" t="s">
        <v>511</v>
      </c>
      <c r="L72">
        <v>0</v>
      </c>
      <c r="N72">
        <v>0</v>
      </c>
      <c r="O72">
        <v>1</v>
      </c>
    </row>
    <row r="73" spans="1:15" x14ac:dyDescent="0.35">
      <c r="A73" t="s">
        <v>512</v>
      </c>
      <c r="B73" t="s">
        <v>513</v>
      </c>
      <c r="C73" t="s">
        <v>27</v>
      </c>
      <c r="D73" t="s">
        <v>28</v>
      </c>
      <c r="E73" t="s">
        <v>902</v>
      </c>
      <c r="F73" t="str">
        <f>_xlfn.XLOOKUP(Table3[[#This Row],[pdg_zonecode]],Zones!A:A,Zones!B:B)</f>
        <v>LEBANON</v>
      </c>
      <c r="L73">
        <v>0</v>
      </c>
      <c r="N73">
        <v>0</v>
      </c>
      <c r="O73">
        <v>1</v>
      </c>
    </row>
    <row r="74" spans="1:15" x14ac:dyDescent="0.35">
      <c r="A74" t="s">
        <v>514</v>
      </c>
      <c r="B74" t="s">
        <v>515</v>
      </c>
      <c r="C74" t="s">
        <v>27</v>
      </c>
      <c r="D74" t="s">
        <v>28</v>
      </c>
      <c r="E74" t="s">
        <v>902</v>
      </c>
      <c r="F74" t="str">
        <f>_xlfn.XLOOKUP(Table3[[#This Row],[pdg_zonecode]],Zones!A:A,Zones!B:B)</f>
        <v>LEBANON</v>
      </c>
      <c r="L74">
        <v>0</v>
      </c>
      <c r="N74">
        <v>0</v>
      </c>
      <c r="O74">
        <v>1</v>
      </c>
    </row>
    <row r="75" spans="1:15" x14ac:dyDescent="0.35">
      <c r="A75" t="s">
        <v>516</v>
      </c>
      <c r="B75" t="s">
        <v>517</v>
      </c>
      <c r="C75" t="s">
        <v>27</v>
      </c>
      <c r="D75" t="s">
        <v>28</v>
      </c>
      <c r="E75" t="s">
        <v>902</v>
      </c>
      <c r="F75" t="str">
        <f>_xlfn.XLOOKUP(Table3[[#This Row],[pdg_zonecode]],Zones!A:A,Zones!B:B)</f>
        <v>LEBANON</v>
      </c>
      <c r="L75">
        <v>0</v>
      </c>
      <c r="N75">
        <v>0</v>
      </c>
      <c r="O75">
        <v>1</v>
      </c>
    </row>
    <row r="76" spans="1:15" x14ac:dyDescent="0.35">
      <c r="A76" t="s">
        <v>518</v>
      </c>
      <c r="B76" t="s">
        <v>519</v>
      </c>
      <c r="C76" t="s">
        <v>17</v>
      </c>
      <c r="D76" t="s">
        <v>18</v>
      </c>
      <c r="E76" t="s">
        <v>66</v>
      </c>
      <c r="F76" t="str">
        <f>_xlfn.XLOOKUP(Table3[[#This Row],[pdg_zonecode]],Zones!A:A,Zones!B:B)</f>
        <v>KUWAIT</v>
      </c>
      <c r="L76">
        <v>0</v>
      </c>
      <c r="N76">
        <v>0</v>
      </c>
      <c r="O76">
        <v>1</v>
      </c>
    </row>
    <row r="77" spans="1:15" x14ac:dyDescent="0.35">
      <c r="A77" t="s">
        <v>520</v>
      </c>
      <c r="B77" t="s">
        <v>521</v>
      </c>
      <c r="C77" t="s">
        <v>27</v>
      </c>
      <c r="D77" t="s">
        <v>28</v>
      </c>
      <c r="E77" t="s">
        <v>910</v>
      </c>
      <c r="F77" t="str">
        <f>_xlfn.XLOOKUP(Table3[[#This Row],[pdg_zonecode]],Zones!A:A,Zones!B:B)</f>
        <v>BEYROUTH</v>
      </c>
      <c r="L77">
        <v>0</v>
      </c>
      <c r="N77">
        <v>0</v>
      </c>
      <c r="O77">
        <v>1</v>
      </c>
    </row>
    <row r="78" spans="1:15" x14ac:dyDescent="0.35">
      <c r="A78" t="s">
        <v>522</v>
      </c>
      <c r="B78" t="s">
        <v>523</v>
      </c>
      <c r="C78" t="s">
        <v>27</v>
      </c>
      <c r="D78" t="s">
        <v>28</v>
      </c>
      <c r="E78" t="s">
        <v>910</v>
      </c>
      <c r="F78" t="str">
        <f>_xlfn.XLOOKUP(Table3[[#This Row],[pdg_zonecode]],Zones!A:A,Zones!B:B)</f>
        <v>BEYROUTH</v>
      </c>
      <c r="I78" t="s">
        <v>524</v>
      </c>
      <c r="L78">
        <v>0</v>
      </c>
      <c r="N78">
        <v>0</v>
      </c>
      <c r="O78">
        <v>1</v>
      </c>
    </row>
    <row r="79" spans="1:15" x14ac:dyDescent="0.35">
      <c r="A79" t="s">
        <v>525</v>
      </c>
      <c r="B79" t="s">
        <v>526</v>
      </c>
      <c r="C79" t="s">
        <v>27</v>
      </c>
      <c r="D79" t="s">
        <v>28</v>
      </c>
      <c r="E79" t="s">
        <v>910</v>
      </c>
      <c r="F79" t="str">
        <f>_xlfn.XLOOKUP(Table3[[#This Row],[pdg_zonecode]],Zones!A:A,Zones!B:B)</f>
        <v>BEYROUTH</v>
      </c>
      <c r="I79" t="s">
        <v>527</v>
      </c>
      <c r="L79">
        <v>0</v>
      </c>
      <c r="N79">
        <v>0</v>
      </c>
      <c r="O79">
        <v>1</v>
      </c>
    </row>
    <row r="80" spans="1:15" x14ac:dyDescent="0.35">
      <c r="A80" t="s">
        <v>74</v>
      </c>
      <c r="B80" t="s">
        <v>75</v>
      </c>
      <c r="C80" t="s">
        <v>27</v>
      </c>
      <c r="D80" t="s">
        <v>28</v>
      </c>
      <c r="E80" t="s">
        <v>902</v>
      </c>
      <c r="F80" t="str">
        <f>_xlfn.XLOOKUP(Table3[[#This Row],[pdg_zonecode]],Zones!A:A,Zones!B:B)</f>
        <v>LEBANON</v>
      </c>
      <c r="L80">
        <v>0</v>
      </c>
      <c r="N80">
        <v>0</v>
      </c>
      <c r="O80">
        <v>1</v>
      </c>
    </row>
    <row r="81" spans="1:15" x14ac:dyDescent="0.35">
      <c r="A81" t="s">
        <v>528</v>
      </c>
      <c r="B81" t="s">
        <v>529</v>
      </c>
      <c r="C81" t="s">
        <v>27</v>
      </c>
      <c r="D81" t="s">
        <v>28</v>
      </c>
      <c r="E81" t="s">
        <v>902</v>
      </c>
      <c r="F81" t="str">
        <f>_xlfn.XLOOKUP(Table3[[#This Row],[pdg_zonecode]],Zones!A:A,Zones!B:B)</f>
        <v>LEBANON</v>
      </c>
      <c r="L81">
        <v>0</v>
      </c>
      <c r="N81">
        <v>0</v>
      </c>
      <c r="O81">
        <v>1</v>
      </c>
    </row>
    <row r="82" spans="1:15" x14ac:dyDescent="0.35">
      <c r="A82" t="s">
        <v>530</v>
      </c>
      <c r="B82" t="s">
        <v>531</v>
      </c>
      <c r="C82" t="s">
        <v>27</v>
      </c>
      <c r="D82" t="s">
        <v>28</v>
      </c>
      <c r="E82" t="s">
        <v>902</v>
      </c>
      <c r="F82" t="str">
        <f>_xlfn.XLOOKUP(Table3[[#This Row],[pdg_zonecode]],Zones!A:A,Zones!B:B)</f>
        <v>LEBANON</v>
      </c>
      <c r="L82">
        <v>0</v>
      </c>
      <c r="N82">
        <v>0</v>
      </c>
      <c r="O82">
        <v>1</v>
      </c>
    </row>
    <row r="83" spans="1:15" x14ac:dyDescent="0.35">
      <c r="A83" t="s">
        <v>532</v>
      </c>
      <c r="B83" t="s">
        <v>533</v>
      </c>
      <c r="C83" t="s">
        <v>27</v>
      </c>
      <c r="D83" t="s">
        <v>28</v>
      </c>
      <c r="E83" t="s">
        <v>902</v>
      </c>
      <c r="F83" t="str">
        <f>_xlfn.XLOOKUP(Table3[[#This Row],[pdg_zonecode]],Zones!A:A,Zones!B:B)</f>
        <v>LEBANON</v>
      </c>
      <c r="L83">
        <v>0</v>
      </c>
      <c r="N83">
        <v>0</v>
      </c>
      <c r="O83">
        <v>1</v>
      </c>
    </row>
    <row r="84" spans="1:15" x14ac:dyDescent="0.35">
      <c r="A84" t="s">
        <v>534</v>
      </c>
      <c r="B84" t="s">
        <v>535</v>
      </c>
      <c r="C84" t="s">
        <v>17</v>
      </c>
      <c r="D84" t="s">
        <v>18</v>
      </c>
      <c r="E84" t="s">
        <v>920</v>
      </c>
      <c r="F84" t="str">
        <f>_xlfn.XLOOKUP(Table3[[#This Row],[pdg_zonecode]],Zones!A:A,Zones!B:B)</f>
        <v>GERMANY</v>
      </c>
      <c r="I84" t="s">
        <v>536</v>
      </c>
      <c r="K84" t="s">
        <v>537</v>
      </c>
      <c r="L84">
        <v>0</v>
      </c>
      <c r="N84">
        <v>0</v>
      </c>
      <c r="O84">
        <v>1</v>
      </c>
    </row>
    <row r="85" spans="1:15" x14ac:dyDescent="0.35">
      <c r="A85" t="s">
        <v>538</v>
      </c>
      <c r="B85" t="s">
        <v>539</v>
      </c>
      <c r="C85" t="s">
        <v>27</v>
      </c>
      <c r="D85" t="s">
        <v>28</v>
      </c>
      <c r="E85" t="s">
        <v>902</v>
      </c>
      <c r="F85" t="str">
        <f>_xlfn.XLOOKUP(Table3[[#This Row],[pdg_zonecode]],Zones!A:A,Zones!B:B)</f>
        <v>LEBANON</v>
      </c>
      <c r="L85">
        <v>0</v>
      </c>
      <c r="N85">
        <v>0</v>
      </c>
      <c r="O85">
        <v>1</v>
      </c>
    </row>
    <row r="86" spans="1:15" x14ac:dyDescent="0.35">
      <c r="A86" t="s">
        <v>540</v>
      </c>
      <c r="B86" t="s">
        <v>541</v>
      </c>
      <c r="C86" t="s">
        <v>27</v>
      </c>
      <c r="D86" t="s">
        <v>28</v>
      </c>
      <c r="E86" t="s">
        <v>902</v>
      </c>
      <c r="F86" t="str">
        <f>_xlfn.XLOOKUP(Table3[[#This Row],[pdg_zonecode]],Zones!A:A,Zones!B:B)</f>
        <v>LEBANON</v>
      </c>
      <c r="G86" t="s">
        <v>542</v>
      </c>
      <c r="H86" t="s">
        <v>543</v>
      </c>
      <c r="L86">
        <v>0</v>
      </c>
      <c r="N86">
        <v>0</v>
      </c>
      <c r="O86">
        <v>1</v>
      </c>
    </row>
    <row r="87" spans="1:15" x14ac:dyDescent="0.35">
      <c r="A87" t="s">
        <v>544</v>
      </c>
      <c r="B87" t="s">
        <v>545</v>
      </c>
      <c r="C87" t="s">
        <v>17</v>
      </c>
      <c r="D87" t="s">
        <v>18</v>
      </c>
      <c r="E87" t="s">
        <v>64</v>
      </c>
      <c r="F87" t="str">
        <f>_xlfn.XLOOKUP(Table3[[#This Row],[pdg_zonecode]],Zones!A:A,Zones!B:B)</f>
        <v>U.S.A.</v>
      </c>
      <c r="G87" t="s">
        <v>546</v>
      </c>
      <c r="I87" t="s">
        <v>547</v>
      </c>
      <c r="K87" t="s">
        <v>548</v>
      </c>
      <c r="L87">
        <v>0</v>
      </c>
      <c r="N87">
        <v>0</v>
      </c>
      <c r="O87">
        <v>1</v>
      </c>
    </row>
    <row r="88" spans="1:15" x14ac:dyDescent="0.35">
      <c r="A88" t="s">
        <v>549</v>
      </c>
      <c r="B88" t="s">
        <v>550</v>
      </c>
      <c r="C88" t="s">
        <v>27</v>
      </c>
      <c r="D88" t="s">
        <v>28</v>
      </c>
      <c r="E88" t="s">
        <v>902</v>
      </c>
      <c r="F88" t="str">
        <f>_xlfn.XLOOKUP(Table3[[#This Row],[pdg_zonecode]],Zones!A:A,Zones!B:B)</f>
        <v>LEBANON</v>
      </c>
      <c r="L88">
        <v>0</v>
      </c>
      <c r="N88">
        <v>0</v>
      </c>
      <c r="O88">
        <v>1</v>
      </c>
    </row>
    <row r="89" spans="1:15" x14ac:dyDescent="0.35">
      <c r="A89" t="s">
        <v>551</v>
      </c>
      <c r="B89" t="s">
        <v>552</v>
      </c>
      <c r="C89" t="s">
        <v>27</v>
      </c>
      <c r="D89" t="s">
        <v>28</v>
      </c>
      <c r="E89" t="s">
        <v>902</v>
      </c>
      <c r="F89" t="str">
        <f>_xlfn.XLOOKUP(Table3[[#This Row],[pdg_zonecode]],Zones!A:A,Zones!B:B)</f>
        <v>LEBANON</v>
      </c>
      <c r="G89" t="s">
        <v>553</v>
      </c>
      <c r="K89" t="s">
        <v>554</v>
      </c>
      <c r="L89">
        <v>0</v>
      </c>
      <c r="N89">
        <v>0</v>
      </c>
      <c r="O89">
        <v>1</v>
      </c>
    </row>
    <row r="90" spans="1:15" x14ac:dyDescent="0.35">
      <c r="A90" t="s">
        <v>555</v>
      </c>
      <c r="B90" t="s">
        <v>556</v>
      </c>
      <c r="C90" t="s">
        <v>27</v>
      </c>
      <c r="D90" t="s">
        <v>28</v>
      </c>
      <c r="E90" t="s">
        <v>910</v>
      </c>
      <c r="F90" t="str">
        <f>_xlfn.XLOOKUP(Table3[[#This Row],[pdg_zonecode]],Zones!A:A,Zones!B:B)</f>
        <v>BEYROUTH</v>
      </c>
      <c r="G90" t="s">
        <v>557</v>
      </c>
      <c r="I90" t="s">
        <v>558</v>
      </c>
      <c r="J90" t="s">
        <v>559</v>
      </c>
      <c r="L90">
        <v>0</v>
      </c>
      <c r="N90">
        <v>0</v>
      </c>
      <c r="O90">
        <v>1</v>
      </c>
    </row>
    <row r="91" spans="1:15" x14ac:dyDescent="0.35">
      <c r="A91" t="s">
        <v>76</v>
      </c>
      <c r="B91" t="s">
        <v>77</v>
      </c>
      <c r="C91" t="s">
        <v>27</v>
      </c>
      <c r="D91" t="s">
        <v>28</v>
      </c>
      <c r="E91" t="s">
        <v>902</v>
      </c>
      <c r="F91" t="str">
        <f>_xlfn.XLOOKUP(Table3[[#This Row],[pdg_zonecode]],Zones!A:A,Zones!B:B)</f>
        <v>LEBANON</v>
      </c>
      <c r="G91" t="s">
        <v>78</v>
      </c>
      <c r="H91" t="s">
        <v>79</v>
      </c>
      <c r="I91" t="s">
        <v>80</v>
      </c>
      <c r="J91" t="s">
        <v>81</v>
      </c>
      <c r="L91">
        <v>0</v>
      </c>
      <c r="N91">
        <v>0</v>
      </c>
      <c r="O91">
        <v>1</v>
      </c>
    </row>
    <row r="92" spans="1:15" x14ac:dyDescent="0.35">
      <c r="A92" t="s">
        <v>560</v>
      </c>
      <c r="B92" t="s">
        <v>561</v>
      </c>
      <c r="C92" t="s">
        <v>17</v>
      </c>
      <c r="D92" t="s">
        <v>18</v>
      </c>
      <c r="E92" t="s">
        <v>163</v>
      </c>
      <c r="F92" t="str">
        <f>_xlfn.XLOOKUP(Table3[[#This Row],[pdg_zonecode]],Zones!A:A,Zones!B:B)</f>
        <v>BRITISH VIRGIN ISLAND</v>
      </c>
      <c r="L92">
        <v>0</v>
      </c>
      <c r="N92">
        <v>0</v>
      </c>
      <c r="O92">
        <v>1</v>
      </c>
    </row>
    <row r="93" spans="1:15" x14ac:dyDescent="0.35">
      <c r="A93" t="s">
        <v>562</v>
      </c>
      <c r="B93" t="s">
        <v>563</v>
      </c>
      <c r="C93" t="s">
        <v>27</v>
      </c>
      <c r="D93" t="s">
        <v>28</v>
      </c>
      <c r="E93" t="s">
        <v>910</v>
      </c>
      <c r="F93" t="str">
        <f>_xlfn.XLOOKUP(Table3[[#This Row],[pdg_zonecode]],Zones!A:A,Zones!B:B)</f>
        <v>BEYROUTH</v>
      </c>
      <c r="I93" t="s">
        <v>564</v>
      </c>
      <c r="L93">
        <v>0</v>
      </c>
      <c r="N93">
        <v>0</v>
      </c>
      <c r="O93">
        <v>1</v>
      </c>
    </row>
    <row r="94" spans="1:15" x14ac:dyDescent="0.35">
      <c r="A94" t="s">
        <v>565</v>
      </c>
      <c r="B94" t="s">
        <v>566</v>
      </c>
      <c r="C94" t="s">
        <v>27</v>
      </c>
      <c r="D94" t="s">
        <v>28</v>
      </c>
      <c r="E94" t="s">
        <v>910</v>
      </c>
      <c r="F94" t="str">
        <f>_xlfn.XLOOKUP(Table3[[#This Row],[pdg_zonecode]],Zones!A:A,Zones!B:B)</f>
        <v>BEYROUTH</v>
      </c>
      <c r="I94" t="s">
        <v>567</v>
      </c>
      <c r="L94">
        <v>0</v>
      </c>
      <c r="N94">
        <v>0</v>
      </c>
      <c r="O94">
        <v>1</v>
      </c>
    </row>
    <row r="95" spans="1:15" x14ac:dyDescent="0.35">
      <c r="A95" t="s">
        <v>568</v>
      </c>
      <c r="B95" t="s">
        <v>569</v>
      </c>
      <c r="C95" t="s">
        <v>17</v>
      </c>
      <c r="D95" t="s">
        <v>18</v>
      </c>
      <c r="E95" t="s">
        <v>916</v>
      </c>
      <c r="F95" t="str">
        <f>_xlfn.XLOOKUP(Table3[[#This Row],[pdg_zonecode]],Zones!A:A,Zones!B:B)</f>
        <v>GENEVE</v>
      </c>
      <c r="G95" t="s">
        <v>570</v>
      </c>
      <c r="H95" t="s">
        <v>571</v>
      </c>
      <c r="I95" t="s">
        <v>572</v>
      </c>
      <c r="J95" t="s">
        <v>573</v>
      </c>
      <c r="K95" t="s">
        <v>574</v>
      </c>
      <c r="L95">
        <v>0</v>
      </c>
      <c r="N95">
        <v>0</v>
      </c>
      <c r="O95">
        <v>1</v>
      </c>
    </row>
    <row r="96" spans="1:15" x14ac:dyDescent="0.35">
      <c r="A96" t="s">
        <v>575</v>
      </c>
      <c r="B96" t="s">
        <v>576</v>
      </c>
      <c r="C96" t="s">
        <v>27</v>
      </c>
      <c r="D96" t="s">
        <v>28</v>
      </c>
      <c r="E96" t="s">
        <v>902</v>
      </c>
      <c r="F96" t="str">
        <f>_xlfn.XLOOKUP(Table3[[#This Row],[pdg_zonecode]],Zones!A:A,Zones!B:B)</f>
        <v>LEBANON</v>
      </c>
      <c r="L96">
        <v>0</v>
      </c>
      <c r="N96">
        <v>0</v>
      </c>
      <c r="O96">
        <v>1</v>
      </c>
    </row>
    <row r="97" spans="1:15" x14ac:dyDescent="0.35">
      <c r="A97" t="s">
        <v>577</v>
      </c>
      <c r="B97" t="s">
        <v>578</v>
      </c>
      <c r="C97" t="s">
        <v>23</v>
      </c>
      <c r="D97" t="s">
        <v>24</v>
      </c>
      <c r="E97" t="s">
        <v>902</v>
      </c>
      <c r="F97" t="str">
        <f>_xlfn.XLOOKUP(Table3[[#This Row],[pdg_zonecode]],Zones!A:A,Zones!B:B)</f>
        <v>LEBANON</v>
      </c>
      <c r="L97">
        <v>0</v>
      </c>
      <c r="N97">
        <v>0</v>
      </c>
      <c r="O97">
        <v>1</v>
      </c>
    </row>
    <row r="98" spans="1:15" x14ac:dyDescent="0.35">
      <c r="A98" t="s">
        <v>579</v>
      </c>
      <c r="B98" t="s">
        <v>580</v>
      </c>
      <c r="C98" t="s">
        <v>23</v>
      </c>
      <c r="D98" t="s">
        <v>24</v>
      </c>
      <c r="E98" t="s">
        <v>902</v>
      </c>
      <c r="F98" t="str">
        <f>_xlfn.XLOOKUP(Table3[[#This Row],[pdg_zonecode]],Zones!A:A,Zones!B:B)</f>
        <v>LEBANON</v>
      </c>
      <c r="I98" t="s">
        <v>581</v>
      </c>
      <c r="L98">
        <v>0</v>
      </c>
      <c r="N98">
        <v>0</v>
      </c>
      <c r="O98">
        <v>1</v>
      </c>
    </row>
    <row r="99" spans="1:15" x14ac:dyDescent="0.35">
      <c r="A99" t="s">
        <v>582</v>
      </c>
      <c r="B99" t="s">
        <v>583</v>
      </c>
      <c r="C99" t="s">
        <v>23</v>
      </c>
      <c r="D99" t="s">
        <v>24</v>
      </c>
      <c r="E99" t="s">
        <v>910</v>
      </c>
      <c r="F99" t="str">
        <f>_xlfn.XLOOKUP(Table3[[#This Row],[pdg_zonecode]],Zones!A:A,Zones!B:B)</f>
        <v>BEYROUTH</v>
      </c>
      <c r="L99">
        <v>0</v>
      </c>
      <c r="N99">
        <v>0</v>
      </c>
      <c r="O99">
        <v>1</v>
      </c>
    </row>
    <row r="100" spans="1:15" x14ac:dyDescent="0.35">
      <c r="A100" t="s">
        <v>584</v>
      </c>
      <c r="B100" t="s">
        <v>585</v>
      </c>
      <c r="C100" t="s">
        <v>27</v>
      </c>
      <c r="D100" t="s">
        <v>28</v>
      </c>
      <c r="E100" t="s">
        <v>902</v>
      </c>
      <c r="F100" t="str">
        <f>_xlfn.XLOOKUP(Table3[[#This Row],[pdg_zonecode]],Zones!A:A,Zones!B:B)</f>
        <v>LEBANON</v>
      </c>
      <c r="L100">
        <v>0</v>
      </c>
      <c r="N100">
        <v>0</v>
      </c>
      <c r="O100">
        <v>1</v>
      </c>
    </row>
    <row r="101" spans="1:15" x14ac:dyDescent="0.35">
      <c r="A101" t="s">
        <v>586</v>
      </c>
      <c r="B101" t="s">
        <v>587</v>
      </c>
      <c r="C101" t="s">
        <v>23</v>
      </c>
      <c r="D101" t="s">
        <v>24</v>
      </c>
      <c r="E101" t="s">
        <v>902</v>
      </c>
      <c r="F101" t="str">
        <f>_xlfn.XLOOKUP(Table3[[#This Row],[pdg_zonecode]],Zones!A:A,Zones!B:B)</f>
        <v>LEBANON</v>
      </c>
      <c r="L101">
        <v>0</v>
      </c>
      <c r="N101">
        <v>0</v>
      </c>
      <c r="O101">
        <v>1</v>
      </c>
    </row>
    <row r="102" spans="1:15" x14ac:dyDescent="0.35">
      <c r="A102" t="s">
        <v>82</v>
      </c>
      <c r="B102" t="s">
        <v>83</v>
      </c>
      <c r="C102" t="s">
        <v>27</v>
      </c>
      <c r="D102" t="s">
        <v>28</v>
      </c>
      <c r="E102" t="s">
        <v>902</v>
      </c>
      <c r="F102" t="str">
        <f>_xlfn.XLOOKUP(Table3[[#This Row],[pdg_zonecode]],Zones!A:A,Zones!B:B)</f>
        <v>LEBANON</v>
      </c>
      <c r="L102">
        <v>0</v>
      </c>
      <c r="N102">
        <v>0</v>
      </c>
      <c r="O102">
        <v>1</v>
      </c>
    </row>
    <row r="103" spans="1:15" x14ac:dyDescent="0.35">
      <c r="A103" t="s">
        <v>588</v>
      </c>
      <c r="B103" t="s">
        <v>589</v>
      </c>
      <c r="C103" t="s">
        <v>27</v>
      </c>
      <c r="D103" t="s">
        <v>28</v>
      </c>
      <c r="E103" t="s">
        <v>902</v>
      </c>
      <c r="F103" t="str">
        <f>_xlfn.XLOOKUP(Table3[[#This Row],[pdg_zonecode]],Zones!A:A,Zones!B:B)</f>
        <v>LEBANON</v>
      </c>
      <c r="L103">
        <v>0</v>
      </c>
      <c r="N103">
        <v>0</v>
      </c>
      <c r="O103">
        <v>1</v>
      </c>
    </row>
    <row r="104" spans="1:15" x14ac:dyDescent="0.35">
      <c r="A104" t="s">
        <v>590</v>
      </c>
      <c r="B104" t="s">
        <v>591</v>
      </c>
      <c r="C104" t="s">
        <v>27</v>
      </c>
      <c r="D104" t="s">
        <v>28</v>
      </c>
      <c r="E104" t="s">
        <v>902</v>
      </c>
      <c r="F104" t="str">
        <f>_xlfn.XLOOKUP(Table3[[#This Row],[pdg_zonecode]],Zones!A:A,Zones!B:B)</f>
        <v>LEBANON</v>
      </c>
      <c r="L104">
        <v>0</v>
      </c>
      <c r="N104">
        <v>0</v>
      </c>
      <c r="O104">
        <v>1</v>
      </c>
    </row>
    <row r="105" spans="1:15" x14ac:dyDescent="0.35">
      <c r="A105" t="s">
        <v>592</v>
      </c>
      <c r="B105" t="s">
        <v>593</v>
      </c>
      <c r="C105" t="s">
        <v>27</v>
      </c>
      <c r="D105" t="s">
        <v>28</v>
      </c>
      <c r="E105" t="s">
        <v>910</v>
      </c>
      <c r="F105" t="str">
        <f>_xlfn.XLOOKUP(Table3[[#This Row],[pdg_zonecode]],Zones!A:A,Zones!B:B)</f>
        <v>BEYROUTH</v>
      </c>
      <c r="I105" t="s">
        <v>594</v>
      </c>
      <c r="L105">
        <v>0</v>
      </c>
      <c r="N105">
        <v>0</v>
      </c>
      <c r="O105">
        <v>1</v>
      </c>
    </row>
    <row r="106" spans="1:15" x14ac:dyDescent="0.35">
      <c r="A106" t="s">
        <v>595</v>
      </c>
      <c r="B106" t="s">
        <v>596</v>
      </c>
      <c r="C106" t="s">
        <v>23</v>
      </c>
      <c r="D106" t="s">
        <v>24</v>
      </c>
      <c r="E106" t="s">
        <v>902</v>
      </c>
      <c r="F106" t="str">
        <f>_xlfn.XLOOKUP(Table3[[#This Row],[pdg_zonecode]],Zones!A:A,Zones!B:B)</f>
        <v>LEBANON</v>
      </c>
      <c r="I106" t="s">
        <v>597</v>
      </c>
      <c r="L106">
        <v>0</v>
      </c>
      <c r="N106">
        <v>0</v>
      </c>
      <c r="O106">
        <v>1</v>
      </c>
    </row>
    <row r="107" spans="1:15" x14ac:dyDescent="0.35">
      <c r="A107" t="s">
        <v>598</v>
      </c>
      <c r="B107" t="s">
        <v>599</v>
      </c>
      <c r="C107" t="s">
        <v>27</v>
      </c>
      <c r="D107" t="s">
        <v>28</v>
      </c>
      <c r="E107" t="s">
        <v>902</v>
      </c>
      <c r="F107" t="str">
        <f>_xlfn.XLOOKUP(Table3[[#This Row],[pdg_zonecode]],Zones!A:A,Zones!B:B)</f>
        <v>LEBANON</v>
      </c>
      <c r="L107">
        <v>0</v>
      </c>
      <c r="N107">
        <v>0</v>
      </c>
      <c r="O107">
        <v>1</v>
      </c>
    </row>
    <row r="108" spans="1:15" x14ac:dyDescent="0.35">
      <c r="A108" t="s">
        <v>600</v>
      </c>
      <c r="B108" t="s">
        <v>601</v>
      </c>
      <c r="C108" t="s">
        <v>27</v>
      </c>
      <c r="D108" t="s">
        <v>28</v>
      </c>
      <c r="E108" t="s">
        <v>910</v>
      </c>
      <c r="F108" t="str">
        <f>_xlfn.XLOOKUP(Table3[[#This Row],[pdg_zonecode]],Zones!A:A,Zones!B:B)</f>
        <v>BEYROUTH</v>
      </c>
      <c r="L108">
        <v>0</v>
      </c>
      <c r="N108">
        <v>0</v>
      </c>
      <c r="O108">
        <v>1</v>
      </c>
    </row>
    <row r="109" spans="1:15" x14ac:dyDescent="0.35">
      <c r="A109" t="s">
        <v>602</v>
      </c>
      <c r="B109" t="s">
        <v>603</v>
      </c>
      <c r="C109" t="s">
        <v>27</v>
      </c>
      <c r="D109" t="s">
        <v>28</v>
      </c>
      <c r="E109" t="s">
        <v>902</v>
      </c>
      <c r="F109" t="str">
        <f>_xlfn.XLOOKUP(Table3[[#This Row],[pdg_zonecode]],Zones!A:A,Zones!B:B)</f>
        <v>LEBANON</v>
      </c>
      <c r="L109">
        <v>0</v>
      </c>
      <c r="N109">
        <v>0</v>
      </c>
      <c r="O109">
        <v>1</v>
      </c>
    </row>
    <row r="110" spans="1:15" x14ac:dyDescent="0.35">
      <c r="A110" t="s">
        <v>604</v>
      </c>
      <c r="B110" t="s">
        <v>605</v>
      </c>
      <c r="C110" t="s">
        <v>27</v>
      </c>
      <c r="D110" t="s">
        <v>28</v>
      </c>
      <c r="E110" t="s">
        <v>902</v>
      </c>
      <c r="F110" t="str">
        <f>_xlfn.XLOOKUP(Table3[[#This Row],[pdg_zonecode]],Zones!A:A,Zones!B:B)</f>
        <v>LEBANON</v>
      </c>
      <c r="I110" t="s">
        <v>606</v>
      </c>
      <c r="L110">
        <v>0</v>
      </c>
      <c r="N110">
        <v>0</v>
      </c>
      <c r="O110">
        <v>1</v>
      </c>
    </row>
    <row r="111" spans="1:15" x14ac:dyDescent="0.35">
      <c r="A111" t="s">
        <v>607</v>
      </c>
      <c r="B111" t="s">
        <v>608</v>
      </c>
      <c r="C111" t="s">
        <v>27</v>
      </c>
      <c r="D111" t="s">
        <v>28</v>
      </c>
      <c r="E111" t="s">
        <v>902</v>
      </c>
      <c r="F111" t="str">
        <f>_xlfn.XLOOKUP(Table3[[#This Row],[pdg_zonecode]],Zones!A:A,Zones!B:B)</f>
        <v>LEBANON</v>
      </c>
      <c r="L111">
        <v>0</v>
      </c>
      <c r="N111">
        <v>0</v>
      </c>
      <c r="O111">
        <v>1</v>
      </c>
    </row>
    <row r="112" spans="1:15" x14ac:dyDescent="0.35">
      <c r="A112" t="s">
        <v>609</v>
      </c>
      <c r="B112" t="s">
        <v>610</v>
      </c>
      <c r="C112" t="s">
        <v>27</v>
      </c>
      <c r="D112" t="s">
        <v>28</v>
      </c>
      <c r="E112" t="s">
        <v>902</v>
      </c>
      <c r="F112" t="str">
        <f>_xlfn.XLOOKUP(Table3[[#This Row],[pdg_zonecode]],Zones!A:A,Zones!B:B)</f>
        <v>LEBANON</v>
      </c>
      <c r="I112" t="s">
        <v>611</v>
      </c>
      <c r="L112">
        <v>0</v>
      </c>
      <c r="N112">
        <v>0</v>
      </c>
      <c r="O112">
        <v>1</v>
      </c>
    </row>
    <row r="113" spans="1:15" x14ac:dyDescent="0.35">
      <c r="A113" t="s">
        <v>21</v>
      </c>
      <c r="B113" t="s">
        <v>22</v>
      </c>
      <c r="C113" t="s">
        <v>23</v>
      </c>
      <c r="D113" t="s">
        <v>24</v>
      </c>
      <c r="E113" t="s">
        <v>902</v>
      </c>
      <c r="F113" t="str">
        <f>_xlfn.XLOOKUP(Table3[[#This Row],[pdg_zonecode]],Zones!A:A,Zones!B:B)</f>
        <v>LEBANON</v>
      </c>
      <c r="L113">
        <v>0</v>
      </c>
      <c r="N113">
        <v>0</v>
      </c>
      <c r="O113">
        <v>1</v>
      </c>
    </row>
    <row r="114" spans="1:15" x14ac:dyDescent="0.35">
      <c r="A114" t="s">
        <v>84</v>
      </c>
      <c r="B114" t="s">
        <v>85</v>
      </c>
      <c r="C114" t="s">
        <v>27</v>
      </c>
      <c r="D114" t="s">
        <v>28</v>
      </c>
      <c r="E114" t="s">
        <v>910</v>
      </c>
      <c r="F114" t="str">
        <f>_xlfn.XLOOKUP(Table3[[#This Row],[pdg_zonecode]],Zones!A:A,Zones!B:B)</f>
        <v>BEYROUTH</v>
      </c>
      <c r="L114">
        <v>0</v>
      </c>
      <c r="N114">
        <v>0</v>
      </c>
      <c r="O114">
        <v>1</v>
      </c>
    </row>
    <row r="115" spans="1:15" x14ac:dyDescent="0.35">
      <c r="A115" t="s">
        <v>612</v>
      </c>
      <c r="B115" t="s">
        <v>613</v>
      </c>
      <c r="C115" t="s">
        <v>23</v>
      </c>
      <c r="D115" t="s">
        <v>24</v>
      </c>
      <c r="E115" t="s">
        <v>902</v>
      </c>
      <c r="F115" t="str">
        <f>_xlfn.XLOOKUP(Table3[[#This Row],[pdg_zonecode]],Zones!A:A,Zones!B:B)</f>
        <v>LEBANON</v>
      </c>
      <c r="I115" t="s">
        <v>614</v>
      </c>
      <c r="L115">
        <v>0</v>
      </c>
      <c r="N115">
        <v>0</v>
      </c>
      <c r="O115">
        <v>1</v>
      </c>
    </row>
    <row r="116" spans="1:15" x14ac:dyDescent="0.35">
      <c r="A116" t="s">
        <v>19</v>
      </c>
      <c r="B116" t="s">
        <v>615</v>
      </c>
      <c r="C116" t="s">
        <v>23</v>
      </c>
      <c r="D116" t="s">
        <v>24</v>
      </c>
      <c r="E116" t="s">
        <v>902</v>
      </c>
      <c r="F116" t="str">
        <f>_xlfn.XLOOKUP(Table3[[#This Row],[pdg_zonecode]],Zones!A:A,Zones!B:B)</f>
        <v>LEBANON</v>
      </c>
      <c r="L116">
        <v>0</v>
      </c>
      <c r="N116">
        <v>0</v>
      </c>
      <c r="O116">
        <v>1</v>
      </c>
    </row>
    <row r="117" spans="1:15" x14ac:dyDescent="0.35">
      <c r="A117" t="s">
        <v>39</v>
      </c>
      <c r="B117" t="s">
        <v>616</v>
      </c>
      <c r="C117" t="s">
        <v>17</v>
      </c>
      <c r="D117" t="s">
        <v>18</v>
      </c>
      <c r="E117" t="s">
        <v>168</v>
      </c>
      <c r="F117" t="str">
        <f>_xlfn.XLOOKUP(Table3[[#This Row],[pdg_zonecode]],Zones!A:A,Zones!B:B)</f>
        <v>HONGKONG</v>
      </c>
      <c r="L117">
        <v>0</v>
      </c>
      <c r="N117">
        <v>0</v>
      </c>
      <c r="O117">
        <v>1</v>
      </c>
    </row>
    <row r="118" spans="1:15" x14ac:dyDescent="0.35">
      <c r="A118" t="s">
        <v>617</v>
      </c>
      <c r="B118" t="s">
        <v>618</v>
      </c>
      <c r="C118" t="s">
        <v>17</v>
      </c>
      <c r="D118" t="s">
        <v>18</v>
      </c>
      <c r="E118" t="s">
        <v>619</v>
      </c>
      <c r="F118" t="str">
        <f>_xlfn.XLOOKUP(Table3[[#This Row],[pdg_zonecode]],Zones!A:A,Zones!B:B)</f>
        <v>LOS ANGELOS</v>
      </c>
      <c r="L118">
        <v>0</v>
      </c>
      <c r="N118">
        <v>0</v>
      </c>
      <c r="O118">
        <v>1</v>
      </c>
    </row>
    <row r="119" spans="1:15" x14ac:dyDescent="0.35">
      <c r="A119" t="s">
        <v>620</v>
      </c>
      <c r="B119" t="s">
        <v>621</v>
      </c>
      <c r="C119" t="s">
        <v>17</v>
      </c>
      <c r="D119" t="s">
        <v>18</v>
      </c>
      <c r="E119" t="s">
        <v>84</v>
      </c>
      <c r="F119" t="str">
        <f>_xlfn.XLOOKUP(Table3[[#This Row],[pdg_zonecode]],Zones!A:A,Zones!B:B)</f>
        <v>EMIRATES</v>
      </c>
      <c r="L119">
        <v>0</v>
      </c>
      <c r="N119">
        <v>0</v>
      </c>
      <c r="O119">
        <v>1</v>
      </c>
    </row>
    <row r="120" spans="1:15" x14ac:dyDescent="0.35">
      <c r="A120" t="s">
        <v>622</v>
      </c>
      <c r="B120" t="s">
        <v>623</v>
      </c>
      <c r="C120" t="s">
        <v>27</v>
      </c>
      <c r="D120" t="s">
        <v>28</v>
      </c>
      <c r="E120" t="s">
        <v>902</v>
      </c>
      <c r="F120" t="str">
        <f>_xlfn.XLOOKUP(Table3[[#This Row],[pdg_zonecode]],Zones!A:A,Zones!B:B)</f>
        <v>LEBANON</v>
      </c>
      <c r="L120">
        <v>0</v>
      </c>
      <c r="N120">
        <v>0</v>
      </c>
      <c r="O120">
        <v>1</v>
      </c>
    </row>
    <row r="121" spans="1:15" x14ac:dyDescent="0.35">
      <c r="A121" t="s">
        <v>624</v>
      </c>
      <c r="B121" t="s">
        <v>625</v>
      </c>
      <c r="C121" t="s">
        <v>27</v>
      </c>
      <c r="D121" t="s">
        <v>28</v>
      </c>
      <c r="E121" t="s">
        <v>910</v>
      </c>
      <c r="F121" t="str">
        <f>_xlfn.XLOOKUP(Table3[[#This Row],[pdg_zonecode]],Zones!A:A,Zones!B:B)</f>
        <v>BEYROUTH</v>
      </c>
      <c r="L121">
        <v>0</v>
      </c>
      <c r="N121">
        <v>0</v>
      </c>
      <c r="O121">
        <v>1</v>
      </c>
    </row>
    <row r="122" spans="1:15" x14ac:dyDescent="0.35">
      <c r="A122" t="s">
        <v>626</v>
      </c>
      <c r="B122" t="s">
        <v>627</v>
      </c>
      <c r="C122" t="s">
        <v>23</v>
      </c>
      <c r="D122" t="s">
        <v>24</v>
      </c>
      <c r="E122" t="s">
        <v>910</v>
      </c>
      <c r="F122" t="str">
        <f>_xlfn.XLOOKUP(Table3[[#This Row],[pdg_zonecode]],Zones!A:A,Zones!B:B)</f>
        <v>BEYROUTH</v>
      </c>
      <c r="L122">
        <v>0</v>
      </c>
      <c r="N122">
        <v>0</v>
      </c>
      <c r="O122">
        <v>1</v>
      </c>
    </row>
    <row r="123" spans="1:15" x14ac:dyDescent="0.35">
      <c r="A123" t="s">
        <v>628</v>
      </c>
      <c r="B123" t="s">
        <v>629</v>
      </c>
      <c r="C123" t="s">
        <v>23</v>
      </c>
      <c r="D123" t="s">
        <v>24</v>
      </c>
      <c r="E123" t="s">
        <v>902</v>
      </c>
      <c r="F123" t="str">
        <f>_xlfn.XLOOKUP(Table3[[#This Row],[pdg_zonecode]],Zones!A:A,Zones!B:B)</f>
        <v>LEBANON</v>
      </c>
      <c r="I123" t="s">
        <v>630</v>
      </c>
      <c r="L123">
        <v>0</v>
      </c>
      <c r="N123">
        <v>0</v>
      </c>
      <c r="O123">
        <v>1</v>
      </c>
    </row>
    <row r="124" spans="1:15" x14ac:dyDescent="0.35">
      <c r="A124" t="s">
        <v>631</v>
      </c>
      <c r="B124" t="s">
        <v>632</v>
      </c>
      <c r="C124" t="s">
        <v>23</v>
      </c>
      <c r="D124" t="s">
        <v>24</v>
      </c>
      <c r="E124" t="s">
        <v>902</v>
      </c>
      <c r="F124" t="str">
        <f>_xlfn.XLOOKUP(Table3[[#This Row],[pdg_zonecode]],Zones!A:A,Zones!B:B)</f>
        <v>LEBANON</v>
      </c>
      <c r="L124">
        <v>0</v>
      </c>
      <c r="N124">
        <v>0</v>
      </c>
      <c r="O124">
        <v>1</v>
      </c>
    </row>
    <row r="125" spans="1:15" x14ac:dyDescent="0.35">
      <c r="A125" t="s">
        <v>86</v>
      </c>
      <c r="B125" t="s">
        <v>87</v>
      </c>
      <c r="C125" t="s">
        <v>27</v>
      </c>
      <c r="D125" t="s">
        <v>28</v>
      </c>
      <c r="E125" t="s">
        <v>910</v>
      </c>
      <c r="F125" t="str">
        <f>_xlfn.XLOOKUP(Table3[[#This Row],[pdg_zonecode]],Zones!A:A,Zones!B:B)</f>
        <v>BEYROUTH</v>
      </c>
      <c r="L125">
        <v>0</v>
      </c>
      <c r="N125">
        <v>0</v>
      </c>
      <c r="O125">
        <v>1</v>
      </c>
    </row>
    <row r="126" spans="1:15" x14ac:dyDescent="0.35">
      <c r="A126" t="s">
        <v>633</v>
      </c>
      <c r="B126" t="s">
        <v>634</v>
      </c>
      <c r="C126" t="s">
        <v>23</v>
      </c>
      <c r="D126" t="s">
        <v>24</v>
      </c>
      <c r="E126" t="s">
        <v>902</v>
      </c>
      <c r="F126" t="str">
        <f>_xlfn.XLOOKUP(Table3[[#This Row],[pdg_zonecode]],Zones!A:A,Zones!B:B)</f>
        <v>LEBANON</v>
      </c>
      <c r="L126">
        <v>0</v>
      </c>
      <c r="N126">
        <v>0</v>
      </c>
      <c r="O126">
        <v>1</v>
      </c>
    </row>
    <row r="127" spans="1:15" x14ac:dyDescent="0.35">
      <c r="A127" t="s">
        <v>635</v>
      </c>
      <c r="B127" t="s">
        <v>636</v>
      </c>
      <c r="C127" t="s">
        <v>23</v>
      </c>
      <c r="D127" t="s">
        <v>24</v>
      </c>
      <c r="E127" t="s">
        <v>902</v>
      </c>
      <c r="F127" t="str">
        <f>_xlfn.XLOOKUP(Table3[[#This Row],[pdg_zonecode]],Zones!A:A,Zones!B:B)</f>
        <v>LEBANON</v>
      </c>
      <c r="L127">
        <v>0</v>
      </c>
      <c r="N127">
        <v>0</v>
      </c>
      <c r="O127">
        <v>1</v>
      </c>
    </row>
    <row r="128" spans="1:15" x14ac:dyDescent="0.35">
      <c r="A128" t="s">
        <v>637</v>
      </c>
      <c r="B128" t="s">
        <v>638</v>
      </c>
      <c r="C128" t="s">
        <v>23</v>
      </c>
      <c r="D128" t="s">
        <v>24</v>
      </c>
      <c r="E128" t="s">
        <v>902</v>
      </c>
      <c r="F128" t="str">
        <f>_xlfn.XLOOKUP(Table3[[#This Row],[pdg_zonecode]],Zones!A:A,Zones!B:B)</f>
        <v>LEBANON</v>
      </c>
      <c r="L128">
        <v>0</v>
      </c>
      <c r="N128">
        <v>0</v>
      </c>
      <c r="O128">
        <v>1</v>
      </c>
    </row>
    <row r="129" spans="1:15" x14ac:dyDescent="0.35">
      <c r="A129" t="s">
        <v>639</v>
      </c>
      <c r="B129" t="s">
        <v>640</v>
      </c>
      <c r="C129" t="s">
        <v>23</v>
      </c>
      <c r="D129" t="s">
        <v>24</v>
      </c>
      <c r="E129" t="s">
        <v>902</v>
      </c>
      <c r="F129" t="str">
        <f>_xlfn.XLOOKUP(Table3[[#This Row],[pdg_zonecode]],Zones!A:A,Zones!B:B)</f>
        <v>LEBANON</v>
      </c>
      <c r="L129">
        <v>0</v>
      </c>
      <c r="N129">
        <v>0</v>
      </c>
      <c r="O129">
        <v>1</v>
      </c>
    </row>
    <row r="130" spans="1:15" x14ac:dyDescent="0.35">
      <c r="A130" t="s">
        <v>641</v>
      </c>
      <c r="B130" t="s">
        <v>642</v>
      </c>
      <c r="C130" t="s">
        <v>17</v>
      </c>
      <c r="D130" t="s">
        <v>18</v>
      </c>
      <c r="E130" t="s">
        <v>163</v>
      </c>
      <c r="F130" t="str">
        <f>_xlfn.XLOOKUP(Table3[[#This Row],[pdg_zonecode]],Zones!A:A,Zones!B:B)</f>
        <v>BRITISH VIRGIN ISLAND</v>
      </c>
      <c r="L130">
        <v>0</v>
      </c>
      <c r="N130">
        <v>0</v>
      </c>
      <c r="O130">
        <v>1</v>
      </c>
    </row>
    <row r="131" spans="1:15" x14ac:dyDescent="0.35">
      <c r="A131" t="s">
        <v>643</v>
      </c>
      <c r="B131" t="s">
        <v>644</v>
      </c>
      <c r="C131" t="s">
        <v>23</v>
      </c>
      <c r="D131" t="s">
        <v>24</v>
      </c>
      <c r="E131" t="s">
        <v>902</v>
      </c>
      <c r="F131" t="str">
        <f>_xlfn.XLOOKUP(Table3[[#This Row],[pdg_zonecode]],Zones!A:A,Zones!B:B)</f>
        <v>LEBANON</v>
      </c>
      <c r="L131">
        <v>0</v>
      </c>
      <c r="N131">
        <v>0</v>
      </c>
      <c r="O131">
        <v>1</v>
      </c>
    </row>
    <row r="132" spans="1:15" x14ac:dyDescent="0.35">
      <c r="A132" t="s">
        <v>645</v>
      </c>
      <c r="B132" t="s">
        <v>646</v>
      </c>
      <c r="C132" t="s">
        <v>23</v>
      </c>
      <c r="D132" t="s">
        <v>24</v>
      </c>
      <c r="E132" t="s">
        <v>902</v>
      </c>
      <c r="F132" t="str">
        <f>_xlfn.XLOOKUP(Table3[[#This Row],[pdg_zonecode]],Zones!A:A,Zones!B:B)</f>
        <v>LEBANON</v>
      </c>
      <c r="L132">
        <v>0</v>
      </c>
      <c r="N132">
        <v>0</v>
      </c>
      <c r="O132">
        <v>1</v>
      </c>
    </row>
    <row r="133" spans="1:15" x14ac:dyDescent="0.35">
      <c r="A133" t="s">
        <v>647</v>
      </c>
      <c r="B133" t="s">
        <v>648</v>
      </c>
      <c r="C133" t="s">
        <v>23</v>
      </c>
      <c r="D133" t="s">
        <v>24</v>
      </c>
      <c r="E133" t="s">
        <v>902</v>
      </c>
      <c r="F133" t="str">
        <f>_xlfn.XLOOKUP(Table3[[#This Row],[pdg_zonecode]],Zones!A:A,Zones!B:B)</f>
        <v>LEBANON</v>
      </c>
      <c r="L133">
        <v>0</v>
      </c>
      <c r="N133">
        <v>0</v>
      </c>
      <c r="O133">
        <v>1</v>
      </c>
    </row>
    <row r="134" spans="1:15" x14ac:dyDescent="0.35">
      <c r="A134" t="s">
        <v>649</v>
      </c>
      <c r="B134" t="s">
        <v>650</v>
      </c>
      <c r="C134" t="s">
        <v>23</v>
      </c>
      <c r="D134" t="s">
        <v>24</v>
      </c>
      <c r="E134" t="s">
        <v>902</v>
      </c>
      <c r="F134" t="str">
        <f>_xlfn.XLOOKUP(Table3[[#This Row],[pdg_zonecode]],Zones!A:A,Zones!B:B)</f>
        <v>LEBANON</v>
      </c>
      <c r="L134">
        <v>0</v>
      </c>
      <c r="N134">
        <v>0</v>
      </c>
      <c r="O134">
        <v>1</v>
      </c>
    </row>
    <row r="135" spans="1:15" x14ac:dyDescent="0.35">
      <c r="A135" t="s">
        <v>651</v>
      </c>
      <c r="B135" t="s">
        <v>652</v>
      </c>
      <c r="C135" t="s">
        <v>23</v>
      </c>
      <c r="D135" t="s">
        <v>24</v>
      </c>
      <c r="E135" t="s">
        <v>902</v>
      </c>
      <c r="F135" t="str">
        <f>_xlfn.XLOOKUP(Table3[[#This Row],[pdg_zonecode]],Zones!A:A,Zones!B:B)</f>
        <v>LEBANON</v>
      </c>
      <c r="L135">
        <v>0</v>
      </c>
      <c r="N135">
        <v>0</v>
      </c>
      <c r="O135">
        <v>1</v>
      </c>
    </row>
    <row r="136" spans="1:15" x14ac:dyDescent="0.35">
      <c r="A136" t="s">
        <v>88</v>
      </c>
      <c r="B136" t="s">
        <v>89</v>
      </c>
      <c r="C136" t="s">
        <v>17</v>
      </c>
      <c r="D136" t="s">
        <v>18</v>
      </c>
      <c r="E136" t="s">
        <v>920</v>
      </c>
      <c r="F136" t="str">
        <f>_xlfn.XLOOKUP(Table3[[#This Row],[pdg_zonecode]],Zones!A:A,Zones!B:B)</f>
        <v>GERMANY</v>
      </c>
      <c r="L136">
        <v>0</v>
      </c>
      <c r="N136">
        <v>0</v>
      </c>
      <c r="O136">
        <v>1</v>
      </c>
    </row>
    <row r="137" spans="1:15" x14ac:dyDescent="0.35">
      <c r="A137" t="s">
        <v>653</v>
      </c>
      <c r="B137" t="s">
        <v>654</v>
      </c>
      <c r="C137" t="s">
        <v>27</v>
      </c>
      <c r="D137" t="s">
        <v>28</v>
      </c>
      <c r="E137" t="s">
        <v>910</v>
      </c>
      <c r="F137" t="str">
        <f>_xlfn.XLOOKUP(Table3[[#This Row],[pdg_zonecode]],Zones!A:A,Zones!B:B)</f>
        <v>BEYROUTH</v>
      </c>
      <c r="L137">
        <v>0</v>
      </c>
      <c r="N137">
        <v>0</v>
      </c>
      <c r="O137">
        <v>1</v>
      </c>
    </row>
    <row r="138" spans="1:15" x14ac:dyDescent="0.35">
      <c r="A138" t="s">
        <v>655</v>
      </c>
      <c r="B138" t="s">
        <v>656</v>
      </c>
      <c r="C138" t="s">
        <v>17</v>
      </c>
      <c r="D138" t="s">
        <v>18</v>
      </c>
      <c r="E138" t="s">
        <v>168</v>
      </c>
      <c r="F138" t="str">
        <f>_xlfn.XLOOKUP(Table3[[#This Row],[pdg_zonecode]],Zones!A:A,Zones!B:B)</f>
        <v>HONGKONG</v>
      </c>
      <c r="G138" t="s">
        <v>657</v>
      </c>
      <c r="H138" t="s">
        <v>658</v>
      </c>
      <c r="I138" t="s">
        <v>659</v>
      </c>
      <c r="J138" t="s">
        <v>660</v>
      </c>
      <c r="L138">
        <v>0</v>
      </c>
      <c r="N138">
        <v>0</v>
      </c>
      <c r="O138">
        <v>1</v>
      </c>
    </row>
    <row r="139" spans="1:15" x14ac:dyDescent="0.35">
      <c r="A139" t="s">
        <v>661</v>
      </c>
      <c r="B139" t="s">
        <v>662</v>
      </c>
      <c r="C139" t="s">
        <v>23</v>
      </c>
      <c r="D139" t="s">
        <v>24</v>
      </c>
      <c r="E139" t="s">
        <v>902</v>
      </c>
      <c r="F139" t="str">
        <f>_xlfn.XLOOKUP(Table3[[#This Row],[pdg_zonecode]],Zones!A:A,Zones!B:B)</f>
        <v>LEBANON</v>
      </c>
      <c r="L139">
        <v>0</v>
      </c>
      <c r="N139">
        <v>0</v>
      </c>
      <c r="O139">
        <v>1</v>
      </c>
    </row>
    <row r="140" spans="1:15" x14ac:dyDescent="0.35">
      <c r="A140" t="s">
        <v>663</v>
      </c>
      <c r="B140" t="s">
        <v>664</v>
      </c>
      <c r="C140" t="s">
        <v>23</v>
      </c>
      <c r="D140" t="s">
        <v>24</v>
      </c>
      <c r="E140" t="s">
        <v>902</v>
      </c>
      <c r="F140" t="str">
        <f>_xlfn.XLOOKUP(Table3[[#This Row],[pdg_zonecode]],Zones!A:A,Zones!B:B)</f>
        <v>LEBANON</v>
      </c>
      <c r="L140">
        <v>0</v>
      </c>
      <c r="N140">
        <v>0</v>
      </c>
      <c r="O140">
        <v>1</v>
      </c>
    </row>
    <row r="141" spans="1:15" x14ac:dyDescent="0.35">
      <c r="A141" t="s">
        <v>665</v>
      </c>
      <c r="B141" t="s">
        <v>666</v>
      </c>
      <c r="C141" t="s">
        <v>23</v>
      </c>
      <c r="D141" t="s">
        <v>24</v>
      </c>
      <c r="E141" t="s">
        <v>902</v>
      </c>
      <c r="F141" t="str">
        <f>_xlfn.XLOOKUP(Table3[[#This Row],[pdg_zonecode]],Zones!A:A,Zones!B:B)</f>
        <v>LEBANON</v>
      </c>
      <c r="L141">
        <v>0</v>
      </c>
      <c r="N141">
        <v>0</v>
      </c>
      <c r="O141">
        <v>1</v>
      </c>
    </row>
    <row r="142" spans="1:15" x14ac:dyDescent="0.35">
      <c r="A142" t="s">
        <v>667</v>
      </c>
      <c r="B142" t="s">
        <v>668</v>
      </c>
      <c r="C142" t="s">
        <v>23</v>
      </c>
      <c r="D142" t="s">
        <v>24</v>
      </c>
      <c r="E142" t="s">
        <v>902</v>
      </c>
      <c r="F142" t="str">
        <f>_xlfn.XLOOKUP(Table3[[#This Row],[pdg_zonecode]],Zones!A:A,Zones!B:B)</f>
        <v>LEBANON</v>
      </c>
      <c r="L142">
        <v>0</v>
      </c>
      <c r="N142">
        <v>0</v>
      </c>
      <c r="O142">
        <v>1</v>
      </c>
    </row>
    <row r="143" spans="1:15" x14ac:dyDescent="0.35">
      <c r="A143" t="s">
        <v>669</v>
      </c>
      <c r="B143" t="s">
        <v>670</v>
      </c>
      <c r="C143" t="s">
        <v>23</v>
      </c>
      <c r="D143" t="s">
        <v>24</v>
      </c>
      <c r="E143" t="s">
        <v>902</v>
      </c>
      <c r="F143" t="str">
        <f>_xlfn.XLOOKUP(Table3[[#This Row],[pdg_zonecode]],Zones!A:A,Zones!B:B)</f>
        <v>LEBANON</v>
      </c>
      <c r="L143">
        <v>0</v>
      </c>
      <c r="N143">
        <v>0</v>
      </c>
      <c r="O143">
        <v>1</v>
      </c>
    </row>
    <row r="144" spans="1:15" x14ac:dyDescent="0.35">
      <c r="A144" t="s">
        <v>671</v>
      </c>
      <c r="B144" t="s">
        <v>672</v>
      </c>
      <c r="C144" t="s">
        <v>23</v>
      </c>
      <c r="D144" t="s">
        <v>24</v>
      </c>
      <c r="E144" t="s">
        <v>902</v>
      </c>
      <c r="F144" t="str">
        <f>_xlfn.XLOOKUP(Table3[[#This Row],[pdg_zonecode]],Zones!A:A,Zones!B:B)</f>
        <v>LEBANON</v>
      </c>
      <c r="L144">
        <v>0</v>
      </c>
      <c r="N144">
        <v>0</v>
      </c>
      <c r="O144">
        <v>1</v>
      </c>
    </row>
    <row r="145" spans="1:15" x14ac:dyDescent="0.35">
      <c r="A145" t="s">
        <v>673</v>
      </c>
      <c r="B145" t="s">
        <v>674</v>
      </c>
      <c r="C145" t="s">
        <v>23</v>
      </c>
      <c r="D145" t="s">
        <v>24</v>
      </c>
      <c r="E145" t="s">
        <v>902</v>
      </c>
      <c r="F145" t="str">
        <f>_xlfn.XLOOKUP(Table3[[#This Row],[pdg_zonecode]],Zones!A:A,Zones!B:B)</f>
        <v>LEBANON</v>
      </c>
      <c r="L145">
        <v>0</v>
      </c>
      <c r="N145">
        <v>0</v>
      </c>
      <c r="O145">
        <v>1</v>
      </c>
    </row>
    <row r="146" spans="1:15" x14ac:dyDescent="0.35">
      <c r="A146" t="s">
        <v>675</v>
      </c>
      <c r="B146" t="s">
        <v>676</v>
      </c>
      <c r="C146" t="s">
        <v>23</v>
      </c>
      <c r="D146" t="s">
        <v>24</v>
      </c>
      <c r="E146" t="s">
        <v>902</v>
      </c>
      <c r="F146" t="str">
        <f>_xlfn.XLOOKUP(Table3[[#This Row],[pdg_zonecode]],Zones!A:A,Zones!B:B)</f>
        <v>LEBANON</v>
      </c>
      <c r="I146" t="s">
        <v>677</v>
      </c>
      <c r="L146">
        <v>0</v>
      </c>
      <c r="N146">
        <v>0</v>
      </c>
      <c r="O146">
        <v>1</v>
      </c>
    </row>
    <row r="147" spans="1:15" x14ac:dyDescent="0.35">
      <c r="A147" t="s">
        <v>90</v>
      </c>
      <c r="B147" t="s">
        <v>91</v>
      </c>
      <c r="C147" t="s">
        <v>27</v>
      </c>
      <c r="D147" t="s">
        <v>28</v>
      </c>
      <c r="E147" t="s">
        <v>910</v>
      </c>
      <c r="F147" t="str">
        <f>_xlfn.XLOOKUP(Table3[[#This Row],[pdg_zonecode]],Zones!A:A,Zones!B:B)</f>
        <v>BEYROUTH</v>
      </c>
      <c r="L147">
        <v>0</v>
      </c>
      <c r="N147">
        <v>0</v>
      </c>
      <c r="O147">
        <v>1</v>
      </c>
    </row>
    <row r="148" spans="1:15" x14ac:dyDescent="0.35">
      <c r="A148" t="s">
        <v>678</v>
      </c>
      <c r="B148" t="s">
        <v>679</v>
      </c>
      <c r="C148" t="s">
        <v>23</v>
      </c>
      <c r="D148" t="s">
        <v>24</v>
      </c>
      <c r="E148" t="s">
        <v>910</v>
      </c>
      <c r="F148" t="str">
        <f>_xlfn.XLOOKUP(Table3[[#This Row],[pdg_zonecode]],Zones!A:A,Zones!B:B)</f>
        <v>BEYROUTH</v>
      </c>
      <c r="L148">
        <v>0</v>
      </c>
      <c r="N148">
        <v>0</v>
      </c>
      <c r="O148">
        <v>1</v>
      </c>
    </row>
    <row r="149" spans="1:15" x14ac:dyDescent="0.35">
      <c r="A149" t="s">
        <v>680</v>
      </c>
      <c r="B149" t="s">
        <v>681</v>
      </c>
      <c r="C149" t="s">
        <v>27</v>
      </c>
      <c r="D149" t="s">
        <v>28</v>
      </c>
      <c r="E149" t="s">
        <v>910</v>
      </c>
      <c r="F149" t="str">
        <f>_xlfn.XLOOKUP(Table3[[#This Row],[pdg_zonecode]],Zones!A:A,Zones!B:B)</f>
        <v>BEYROUTH</v>
      </c>
      <c r="L149">
        <v>0</v>
      </c>
      <c r="N149">
        <v>0</v>
      </c>
      <c r="O149">
        <v>1</v>
      </c>
    </row>
    <row r="150" spans="1:15" x14ac:dyDescent="0.35">
      <c r="A150" t="s">
        <v>682</v>
      </c>
      <c r="B150" t="s">
        <v>683</v>
      </c>
      <c r="C150" t="s">
        <v>27</v>
      </c>
      <c r="D150" t="s">
        <v>28</v>
      </c>
      <c r="E150" t="s">
        <v>910</v>
      </c>
      <c r="F150" t="str">
        <f>_xlfn.XLOOKUP(Table3[[#This Row],[pdg_zonecode]],Zones!A:A,Zones!B:B)</f>
        <v>BEYROUTH</v>
      </c>
      <c r="I150" t="s">
        <v>684</v>
      </c>
      <c r="L150">
        <v>0</v>
      </c>
      <c r="N150">
        <v>0</v>
      </c>
      <c r="O150">
        <v>1</v>
      </c>
    </row>
    <row r="151" spans="1:15" x14ac:dyDescent="0.35">
      <c r="A151" t="s">
        <v>685</v>
      </c>
      <c r="B151" t="s">
        <v>686</v>
      </c>
      <c r="C151" t="s">
        <v>23</v>
      </c>
      <c r="D151" t="s">
        <v>24</v>
      </c>
      <c r="E151" t="s">
        <v>910</v>
      </c>
      <c r="F151" t="str">
        <f>_xlfn.XLOOKUP(Table3[[#This Row],[pdg_zonecode]],Zones!A:A,Zones!B:B)</f>
        <v>BEYROUTH</v>
      </c>
      <c r="L151">
        <v>0</v>
      </c>
      <c r="N151">
        <v>0</v>
      </c>
      <c r="O151">
        <v>1</v>
      </c>
    </row>
    <row r="152" spans="1:15" x14ac:dyDescent="0.35">
      <c r="A152" t="s">
        <v>687</v>
      </c>
      <c r="B152" t="s">
        <v>688</v>
      </c>
      <c r="C152" t="s">
        <v>23</v>
      </c>
      <c r="D152" t="s">
        <v>24</v>
      </c>
      <c r="E152" t="s">
        <v>910</v>
      </c>
      <c r="F152" t="str">
        <f>_xlfn.XLOOKUP(Table3[[#This Row],[pdg_zonecode]],Zones!A:A,Zones!B:B)</f>
        <v>BEYROUTH</v>
      </c>
      <c r="L152">
        <v>0</v>
      </c>
      <c r="N152">
        <v>0</v>
      </c>
      <c r="O152">
        <v>1</v>
      </c>
    </row>
    <row r="153" spans="1:15" x14ac:dyDescent="0.35">
      <c r="A153" t="s">
        <v>689</v>
      </c>
      <c r="B153" t="s">
        <v>690</v>
      </c>
      <c r="C153" t="s">
        <v>23</v>
      </c>
      <c r="D153" t="s">
        <v>24</v>
      </c>
      <c r="E153" t="s">
        <v>910</v>
      </c>
      <c r="F153" t="str">
        <f>_xlfn.XLOOKUP(Table3[[#This Row],[pdg_zonecode]],Zones!A:A,Zones!B:B)</f>
        <v>BEYROUTH</v>
      </c>
      <c r="L153">
        <v>0</v>
      </c>
      <c r="N153">
        <v>0</v>
      </c>
      <c r="O153">
        <v>1</v>
      </c>
    </row>
    <row r="154" spans="1:15" x14ac:dyDescent="0.35">
      <c r="A154" t="s">
        <v>691</v>
      </c>
      <c r="B154" t="s">
        <v>692</v>
      </c>
      <c r="C154" t="s">
        <v>23</v>
      </c>
      <c r="D154" t="s">
        <v>24</v>
      </c>
      <c r="E154" t="s">
        <v>910</v>
      </c>
      <c r="F154" t="str">
        <f>_xlfn.XLOOKUP(Table3[[#This Row],[pdg_zonecode]],Zones!A:A,Zones!B:B)</f>
        <v>BEYROUTH</v>
      </c>
      <c r="L154">
        <v>0</v>
      </c>
      <c r="N154">
        <v>0</v>
      </c>
      <c r="O154">
        <v>1</v>
      </c>
    </row>
    <row r="155" spans="1:15" x14ac:dyDescent="0.35">
      <c r="A155" t="s">
        <v>693</v>
      </c>
      <c r="B155" t="s">
        <v>694</v>
      </c>
      <c r="C155" t="s">
        <v>23</v>
      </c>
      <c r="D155" t="s">
        <v>24</v>
      </c>
      <c r="E155" t="s">
        <v>902</v>
      </c>
      <c r="F155" t="str">
        <f>_xlfn.XLOOKUP(Table3[[#This Row],[pdg_zonecode]],Zones!A:A,Zones!B:B)</f>
        <v>LEBANON</v>
      </c>
      <c r="L155">
        <v>0</v>
      </c>
      <c r="N155">
        <v>0</v>
      </c>
      <c r="O155">
        <v>1</v>
      </c>
    </row>
    <row r="156" spans="1:15" x14ac:dyDescent="0.35">
      <c r="A156" t="s">
        <v>695</v>
      </c>
      <c r="B156" t="s">
        <v>696</v>
      </c>
      <c r="C156" t="s">
        <v>23</v>
      </c>
      <c r="D156" t="s">
        <v>24</v>
      </c>
      <c r="E156" t="s">
        <v>910</v>
      </c>
      <c r="F156" t="str">
        <f>_xlfn.XLOOKUP(Table3[[#This Row],[pdg_zonecode]],Zones!A:A,Zones!B:B)</f>
        <v>BEYROUTH</v>
      </c>
      <c r="L156">
        <v>0</v>
      </c>
      <c r="N156">
        <v>0</v>
      </c>
      <c r="O156">
        <v>1</v>
      </c>
    </row>
    <row r="157" spans="1:15" x14ac:dyDescent="0.35">
      <c r="A157" t="s">
        <v>697</v>
      </c>
      <c r="B157" t="s">
        <v>698</v>
      </c>
      <c r="C157" t="s">
        <v>23</v>
      </c>
      <c r="D157" t="s">
        <v>24</v>
      </c>
      <c r="E157" t="s">
        <v>910</v>
      </c>
      <c r="F157" t="str">
        <f>_xlfn.XLOOKUP(Table3[[#This Row],[pdg_zonecode]],Zones!A:A,Zones!B:B)</f>
        <v>BEYROUTH</v>
      </c>
      <c r="L157">
        <v>0</v>
      </c>
      <c r="N157">
        <v>0</v>
      </c>
      <c r="O157">
        <v>1</v>
      </c>
    </row>
    <row r="158" spans="1:15" x14ac:dyDescent="0.35">
      <c r="A158" t="s">
        <v>92</v>
      </c>
      <c r="B158" t="s">
        <v>93</v>
      </c>
      <c r="C158" t="s">
        <v>17</v>
      </c>
      <c r="D158" t="s">
        <v>18</v>
      </c>
      <c r="E158" t="s">
        <v>935</v>
      </c>
      <c r="F158" t="str">
        <f>_xlfn.XLOOKUP(Table3[[#This Row],[pdg_zonecode]],Zones!A:A,Zones!B:B)</f>
        <v>DAWSON STREET</v>
      </c>
      <c r="G158" t="s">
        <v>94</v>
      </c>
      <c r="H158" t="s">
        <v>95</v>
      </c>
      <c r="L158">
        <v>0</v>
      </c>
      <c r="N158">
        <v>0</v>
      </c>
      <c r="O158">
        <v>1</v>
      </c>
    </row>
    <row r="159" spans="1:15" x14ac:dyDescent="0.35">
      <c r="A159" t="s">
        <v>699</v>
      </c>
      <c r="B159" t="s">
        <v>700</v>
      </c>
      <c r="C159" t="s">
        <v>23</v>
      </c>
      <c r="D159" t="s">
        <v>24</v>
      </c>
      <c r="E159" t="s">
        <v>910</v>
      </c>
      <c r="F159" t="str">
        <f>_xlfn.XLOOKUP(Table3[[#This Row],[pdg_zonecode]],Zones!A:A,Zones!B:B)</f>
        <v>BEYROUTH</v>
      </c>
      <c r="L159">
        <v>0</v>
      </c>
      <c r="N159">
        <v>0</v>
      </c>
      <c r="O159">
        <v>1</v>
      </c>
    </row>
    <row r="160" spans="1:15" x14ac:dyDescent="0.35">
      <c r="A160" t="s">
        <v>701</v>
      </c>
      <c r="B160" t="s">
        <v>702</v>
      </c>
      <c r="C160" t="s">
        <v>27</v>
      </c>
      <c r="D160" t="s">
        <v>28</v>
      </c>
      <c r="E160" t="s">
        <v>910</v>
      </c>
      <c r="F160" t="str">
        <f>_xlfn.XLOOKUP(Table3[[#This Row],[pdg_zonecode]],Zones!A:A,Zones!B:B)</f>
        <v>BEYROUTH</v>
      </c>
      <c r="L160">
        <v>0</v>
      </c>
      <c r="N160">
        <v>0</v>
      </c>
      <c r="O160">
        <v>1</v>
      </c>
    </row>
    <row r="161" spans="1:15" x14ac:dyDescent="0.35">
      <c r="A161" t="s">
        <v>703</v>
      </c>
      <c r="B161" t="s">
        <v>704</v>
      </c>
      <c r="C161" t="s">
        <v>23</v>
      </c>
      <c r="D161" t="s">
        <v>24</v>
      </c>
      <c r="E161" t="s">
        <v>910</v>
      </c>
      <c r="F161" t="str">
        <f>_xlfn.XLOOKUP(Table3[[#This Row],[pdg_zonecode]],Zones!A:A,Zones!B:B)</f>
        <v>BEYROUTH</v>
      </c>
      <c r="I161" t="s">
        <v>705</v>
      </c>
      <c r="L161">
        <v>0</v>
      </c>
      <c r="N161">
        <v>0</v>
      </c>
      <c r="O161">
        <v>1</v>
      </c>
    </row>
    <row r="162" spans="1:15" x14ac:dyDescent="0.35">
      <c r="A162" t="s">
        <v>706</v>
      </c>
      <c r="B162" t="s">
        <v>707</v>
      </c>
      <c r="C162" t="s">
        <v>23</v>
      </c>
      <c r="D162" t="s">
        <v>24</v>
      </c>
      <c r="E162" t="s">
        <v>902</v>
      </c>
      <c r="F162" t="str">
        <f>_xlfn.XLOOKUP(Table3[[#This Row],[pdg_zonecode]],Zones!A:A,Zones!B:B)</f>
        <v>LEBANON</v>
      </c>
      <c r="L162">
        <v>0</v>
      </c>
      <c r="N162">
        <v>0</v>
      </c>
      <c r="O162">
        <v>1</v>
      </c>
    </row>
    <row r="163" spans="1:15" x14ac:dyDescent="0.35">
      <c r="A163" t="s">
        <v>708</v>
      </c>
      <c r="B163" t="s">
        <v>709</v>
      </c>
      <c r="C163" t="s">
        <v>17</v>
      </c>
      <c r="D163" t="s">
        <v>18</v>
      </c>
      <c r="E163" t="s">
        <v>920</v>
      </c>
      <c r="F163" t="str">
        <f>_xlfn.XLOOKUP(Table3[[#This Row],[pdg_zonecode]],Zones!A:A,Zones!B:B)</f>
        <v>GERMANY</v>
      </c>
      <c r="L163">
        <v>0</v>
      </c>
      <c r="N163">
        <v>0</v>
      </c>
      <c r="O163">
        <v>1</v>
      </c>
    </row>
    <row r="164" spans="1:15" x14ac:dyDescent="0.35">
      <c r="A164" t="s">
        <v>710</v>
      </c>
      <c r="B164" t="s">
        <v>711</v>
      </c>
      <c r="C164" t="s">
        <v>23</v>
      </c>
      <c r="D164" t="s">
        <v>24</v>
      </c>
      <c r="E164" t="s">
        <v>902</v>
      </c>
      <c r="F164" t="str">
        <f>_xlfn.XLOOKUP(Table3[[#This Row],[pdg_zonecode]],Zones!A:A,Zones!B:B)</f>
        <v>LEBANON</v>
      </c>
      <c r="L164">
        <v>0</v>
      </c>
      <c r="N164">
        <v>0</v>
      </c>
      <c r="O164">
        <v>1</v>
      </c>
    </row>
    <row r="165" spans="1:15" x14ac:dyDescent="0.35">
      <c r="A165" t="s">
        <v>712</v>
      </c>
      <c r="B165" t="s">
        <v>713</v>
      </c>
      <c r="C165" t="s">
        <v>23</v>
      </c>
      <c r="D165" t="s">
        <v>24</v>
      </c>
      <c r="E165" t="s">
        <v>910</v>
      </c>
      <c r="F165" t="str">
        <f>_xlfn.XLOOKUP(Table3[[#This Row],[pdg_zonecode]],Zones!A:A,Zones!B:B)</f>
        <v>BEYROUTH</v>
      </c>
      <c r="L165">
        <v>0</v>
      </c>
      <c r="N165">
        <v>0</v>
      </c>
      <c r="O165">
        <v>1</v>
      </c>
    </row>
    <row r="166" spans="1:15" x14ac:dyDescent="0.35">
      <c r="A166" t="s">
        <v>714</v>
      </c>
      <c r="B166" t="s">
        <v>715</v>
      </c>
      <c r="C166" t="s">
        <v>23</v>
      </c>
      <c r="D166" t="s">
        <v>24</v>
      </c>
      <c r="E166" t="s">
        <v>910</v>
      </c>
      <c r="F166" t="str">
        <f>_xlfn.XLOOKUP(Table3[[#This Row],[pdg_zonecode]],Zones!A:A,Zones!B:B)</f>
        <v>BEYROUTH</v>
      </c>
      <c r="L166">
        <v>0</v>
      </c>
      <c r="N166">
        <v>0</v>
      </c>
      <c r="O166">
        <v>1</v>
      </c>
    </row>
    <row r="167" spans="1:15" x14ac:dyDescent="0.35">
      <c r="A167" t="s">
        <v>716</v>
      </c>
      <c r="B167" t="s">
        <v>717</v>
      </c>
      <c r="C167" t="s">
        <v>23</v>
      </c>
      <c r="D167" t="s">
        <v>24</v>
      </c>
      <c r="E167" t="s">
        <v>910</v>
      </c>
      <c r="F167" t="str">
        <f>_xlfn.XLOOKUP(Table3[[#This Row],[pdg_zonecode]],Zones!A:A,Zones!B:B)</f>
        <v>BEYROUTH</v>
      </c>
      <c r="L167">
        <v>0</v>
      </c>
      <c r="N167">
        <v>0</v>
      </c>
      <c r="O167">
        <v>1</v>
      </c>
    </row>
    <row r="168" spans="1:15" x14ac:dyDescent="0.35">
      <c r="A168" t="s">
        <v>718</v>
      </c>
      <c r="B168" t="s">
        <v>719</v>
      </c>
      <c r="C168" t="s">
        <v>23</v>
      </c>
      <c r="D168" t="s">
        <v>24</v>
      </c>
      <c r="E168" t="s">
        <v>910</v>
      </c>
      <c r="F168" t="str">
        <f>_xlfn.XLOOKUP(Table3[[#This Row],[pdg_zonecode]],Zones!A:A,Zones!B:B)</f>
        <v>BEYROUTH</v>
      </c>
      <c r="L168">
        <v>0</v>
      </c>
      <c r="N168">
        <v>0</v>
      </c>
      <c r="O168">
        <v>1</v>
      </c>
    </row>
    <row r="169" spans="1:15" x14ac:dyDescent="0.35">
      <c r="A169" t="s">
        <v>96</v>
      </c>
      <c r="B169" t="s">
        <v>97</v>
      </c>
      <c r="C169" t="s">
        <v>23</v>
      </c>
      <c r="D169" t="s">
        <v>24</v>
      </c>
      <c r="E169" t="s">
        <v>910</v>
      </c>
      <c r="F169" t="str">
        <f>_xlfn.XLOOKUP(Table3[[#This Row],[pdg_zonecode]],Zones!A:A,Zones!B:B)</f>
        <v>BEYROUTH</v>
      </c>
      <c r="L169">
        <v>0</v>
      </c>
      <c r="N169">
        <v>0</v>
      </c>
      <c r="O169">
        <v>1</v>
      </c>
    </row>
    <row r="170" spans="1:15" x14ac:dyDescent="0.35">
      <c r="A170" t="s">
        <v>720</v>
      </c>
      <c r="B170" t="s">
        <v>721</v>
      </c>
      <c r="C170" t="s">
        <v>23</v>
      </c>
      <c r="D170" t="s">
        <v>24</v>
      </c>
      <c r="E170" t="s">
        <v>910</v>
      </c>
      <c r="F170" t="str">
        <f>_xlfn.XLOOKUP(Table3[[#This Row],[pdg_zonecode]],Zones!A:A,Zones!B:B)</f>
        <v>BEYROUTH</v>
      </c>
      <c r="L170">
        <v>0</v>
      </c>
      <c r="N170">
        <v>0</v>
      </c>
      <c r="O170">
        <v>1</v>
      </c>
    </row>
    <row r="171" spans="1:15" x14ac:dyDescent="0.35">
      <c r="A171" t="s">
        <v>722</v>
      </c>
      <c r="B171" t="s">
        <v>723</v>
      </c>
      <c r="C171" t="s">
        <v>23</v>
      </c>
      <c r="D171" t="s">
        <v>24</v>
      </c>
      <c r="E171" t="s">
        <v>902</v>
      </c>
      <c r="F171" t="str">
        <f>_xlfn.XLOOKUP(Table3[[#This Row],[pdg_zonecode]],Zones!A:A,Zones!B:B)</f>
        <v>LEBANON</v>
      </c>
      <c r="L171">
        <v>0</v>
      </c>
      <c r="N171">
        <v>0</v>
      </c>
      <c r="O171">
        <v>1</v>
      </c>
    </row>
    <row r="172" spans="1:15" x14ac:dyDescent="0.35">
      <c r="A172" t="s">
        <v>724</v>
      </c>
      <c r="B172" t="s">
        <v>725</v>
      </c>
      <c r="C172" t="s">
        <v>23</v>
      </c>
      <c r="D172" t="s">
        <v>24</v>
      </c>
      <c r="E172" t="s">
        <v>910</v>
      </c>
      <c r="F172" t="str">
        <f>_xlfn.XLOOKUP(Table3[[#This Row],[pdg_zonecode]],Zones!A:A,Zones!B:B)</f>
        <v>BEYROUTH</v>
      </c>
      <c r="I172" t="s">
        <v>726</v>
      </c>
      <c r="L172">
        <v>0</v>
      </c>
      <c r="N172">
        <v>0</v>
      </c>
      <c r="O172">
        <v>1</v>
      </c>
    </row>
    <row r="173" spans="1:15" x14ac:dyDescent="0.35">
      <c r="A173" t="s">
        <v>727</v>
      </c>
      <c r="B173" t="s">
        <v>728</v>
      </c>
      <c r="C173" t="s">
        <v>23</v>
      </c>
      <c r="D173" t="s">
        <v>24</v>
      </c>
      <c r="E173" t="s">
        <v>910</v>
      </c>
      <c r="F173" t="str">
        <f>_xlfn.XLOOKUP(Table3[[#This Row],[pdg_zonecode]],Zones!A:A,Zones!B:B)</f>
        <v>BEYROUTH</v>
      </c>
      <c r="L173">
        <v>0</v>
      </c>
      <c r="N173">
        <v>0</v>
      </c>
      <c r="O173">
        <v>1</v>
      </c>
    </row>
    <row r="174" spans="1:15" x14ac:dyDescent="0.35">
      <c r="A174" t="s">
        <v>729</v>
      </c>
      <c r="B174" t="s">
        <v>730</v>
      </c>
      <c r="C174" t="s">
        <v>23</v>
      </c>
      <c r="D174" t="s">
        <v>24</v>
      </c>
      <c r="E174" t="s">
        <v>902</v>
      </c>
      <c r="F174" t="str">
        <f>_xlfn.XLOOKUP(Table3[[#This Row],[pdg_zonecode]],Zones!A:A,Zones!B:B)</f>
        <v>LEBANON</v>
      </c>
      <c r="L174">
        <v>0</v>
      </c>
      <c r="N174">
        <v>0</v>
      </c>
      <c r="O174">
        <v>1</v>
      </c>
    </row>
    <row r="175" spans="1:15" x14ac:dyDescent="0.35">
      <c r="A175" t="s">
        <v>731</v>
      </c>
      <c r="B175" t="s">
        <v>732</v>
      </c>
      <c r="C175" t="s">
        <v>23</v>
      </c>
      <c r="D175" t="s">
        <v>24</v>
      </c>
      <c r="E175" t="s">
        <v>910</v>
      </c>
      <c r="F175" t="str">
        <f>_xlfn.XLOOKUP(Table3[[#This Row],[pdg_zonecode]],Zones!A:A,Zones!B:B)</f>
        <v>BEYROUTH</v>
      </c>
      <c r="L175">
        <v>0</v>
      </c>
      <c r="N175">
        <v>0</v>
      </c>
      <c r="O175">
        <v>1</v>
      </c>
    </row>
    <row r="176" spans="1:15" x14ac:dyDescent="0.35">
      <c r="A176" t="s">
        <v>733</v>
      </c>
      <c r="B176" t="s">
        <v>734</v>
      </c>
      <c r="C176" t="s">
        <v>17</v>
      </c>
      <c r="D176" t="s">
        <v>18</v>
      </c>
      <c r="E176" t="s">
        <v>265</v>
      </c>
      <c r="F176" t="str">
        <f>_xlfn.XLOOKUP(Table3[[#This Row],[pdg_zonecode]],Zones!A:A,Zones!B:B)</f>
        <v>DUBAI</v>
      </c>
      <c r="G176" t="s">
        <v>735</v>
      </c>
      <c r="H176" t="s">
        <v>736</v>
      </c>
      <c r="I176" t="s">
        <v>737</v>
      </c>
      <c r="J176" t="s">
        <v>738</v>
      </c>
      <c r="L176">
        <v>0</v>
      </c>
      <c r="N176">
        <v>0</v>
      </c>
      <c r="O176">
        <v>1</v>
      </c>
    </row>
    <row r="177" spans="1:15" x14ac:dyDescent="0.35">
      <c r="A177" t="s">
        <v>739</v>
      </c>
      <c r="B177" t="s">
        <v>740</v>
      </c>
      <c r="C177" t="s">
        <v>23</v>
      </c>
      <c r="D177" t="s">
        <v>24</v>
      </c>
      <c r="E177" t="s">
        <v>910</v>
      </c>
      <c r="F177" t="str">
        <f>_xlfn.XLOOKUP(Table3[[#This Row],[pdg_zonecode]],Zones!A:A,Zones!B:B)</f>
        <v>BEYROUTH</v>
      </c>
      <c r="L177">
        <v>0</v>
      </c>
      <c r="N177">
        <v>0</v>
      </c>
      <c r="O177">
        <v>1</v>
      </c>
    </row>
    <row r="178" spans="1:15" x14ac:dyDescent="0.35">
      <c r="A178" t="s">
        <v>741</v>
      </c>
      <c r="B178" t="s">
        <v>742</v>
      </c>
      <c r="C178" t="s">
        <v>23</v>
      </c>
      <c r="D178" t="s">
        <v>24</v>
      </c>
      <c r="E178" t="s">
        <v>910</v>
      </c>
      <c r="F178" t="str">
        <f>_xlfn.XLOOKUP(Table3[[#This Row],[pdg_zonecode]],Zones!A:A,Zones!B:B)</f>
        <v>BEYROUTH</v>
      </c>
      <c r="L178">
        <v>0</v>
      </c>
      <c r="N178">
        <v>0</v>
      </c>
      <c r="O178">
        <v>1</v>
      </c>
    </row>
    <row r="179" spans="1:15" x14ac:dyDescent="0.35">
      <c r="A179" t="s">
        <v>743</v>
      </c>
      <c r="B179" t="s">
        <v>744</v>
      </c>
      <c r="C179" t="s">
        <v>23</v>
      </c>
      <c r="D179" t="s">
        <v>24</v>
      </c>
      <c r="E179" t="s">
        <v>910</v>
      </c>
      <c r="F179" t="str">
        <f>_xlfn.XLOOKUP(Table3[[#This Row],[pdg_zonecode]],Zones!A:A,Zones!B:B)</f>
        <v>BEYROUTH</v>
      </c>
      <c r="L179">
        <v>0</v>
      </c>
      <c r="N179">
        <v>0</v>
      </c>
      <c r="O179">
        <v>1</v>
      </c>
    </row>
    <row r="180" spans="1:15" x14ac:dyDescent="0.35">
      <c r="A180" t="s">
        <v>98</v>
      </c>
      <c r="B180" t="s">
        <v>99</v>
      </c>
      <c r="C180" t="s">
        <v>27</v>
      </c>
      <c r="D180" t="s">
        <v>28</v>
      </c>
      <c r="E180" t="s">
        <v>902</v>
      </c>
      <c r="F180" t="str">
        <f>_xlfn.XLOOKUP(Table3[[#This Row],[pdg_zonecode]],Zones!A:A,Zones!B:B)</f>
        <v>LEBANON</v>
      </c>
      <c r="L180">
        <v>0</v>
      </c>
      <c r="N180">
        <v>0</v>
      </c>
      <c r="O180">
        <v>1</v>
      </c>
    </row>
    <row r="181" spans="1:15" x14ac:dyDescent="0.35">
      <c r="A181" t="s">
        <v>745</v>
      </c>
      <c r="B181" t="s">
        <v>746</v>
      </c>
      <c r="C181" t="s">
        <v>23</v>
      </c>
      <c r="D181" t="s">
        <v>24</v>
      </c>
      <c r="E181" t="s">
        <v>910</v>
      </c>
      <c r="F181" t="str">
        <f>_xlfn.XLOOKUP(Table3[[#This Row],[pdg_zonecode]],Zones!A:A,Zones!B:B)</f>
        <v>BEYROUTH</v>
      </c>
      <c r="L181">
        <v>0</v>
      </c>
      <c r="N181">
        <v>0</v>
      </c>
      <c r="O181">
        <v>1</v>
      </c>
    </row>
    <row r="182" spans="1:15" x14ac:dyDescent="0.35">
      <c r="A182" t="s">
        <v>747</v>
      </c>
      <c r="B182" t="s">
        <v>748</v>
      </c>
      <c r="C182" t="s">
        <v>23</v>
      </c>
      <c r="D182" t="s">
        <v>24</v>
      </c>
      <c r="E182" t="s">
        <v>910</v>
      </c>
      <c r="F182" t="str">
        <f>_xlfn.XLOOKUP(Table3[[#This Row],[pdg_zonecode]],Zones!A:A,Zones!B:B)</f>
        <v>BEYROUTH</v>
      </c>
      <c r="L182">
        <v>0</v>
      </c>
      <c r="N182">
        <v>0</v>
      </c>
      <c r="O182">
        <v>1</v>
      </c>
    </row>
    <row r="183" spans="1:15" x14ac:dyDescent="0.35">
      <c r="A183" t="s">
        <v>749</v>
      </c>
      <c r="B183" t="s">
        <v>750</v>
      </c>
      <c r="C183" t="s">
        <v>17</v>
      </c>
      <c r="D183" t="s">
        <v>18</v>
      </c>
      <c r="E183" t="s">
        <v>918</v>
      </c>
      <c r="F183" t="str">
        <f>_xlfn.XLOOKUP(Table3[[#This Row],[pdg_zonecode]],Zones!A:A,Zones!B:B)</f>
        <v>PARIS</v>
      </c>
      <c r="L183">
        <v>0</v>
      </c>
      <c r="N183">
        <v>0</v>
      </c>
      <c r="O183">
        <v>1</v>
      </c>
    </row>
    <row r="184" spans="1:15" x14ac:dyDescent="0.35">
      <c r="A184" t="s">
        <v>751</v>
      </c>
      <c r="B184" t="s">
        <v>752</v>
      </c>
      <c r="C184" t="s">
        <v>23</v>
      </c>
      <c r="D184" t="s">
        <v>24</v>
      </c>
      <c r="E184" t="s">
        <v>910</v>
      </c>
      <c r="F184" t="str">
        <f>_xlfn.XLOOKUP(Table3[[#This Row],[pdg_zonecode]],Zones!A:A,Zones!B:B)</f>
        <v>BEYROUTH</v>
      </c>
      <c r="I184" t="s">
        <v>753</v>
      </c>
      <c r="L184">
        <v>0</v>
      </c>
      <c r="N184">
        <v>0</v>
      </c>
      <c r="O184">
        <v>1</v>
      </c>
    </row>
    <row r="185" spans="1:15" x14ac:dyDescent="0.35">
      <c r="A185" t="s">
        <v>754</v>
      </c>
      <c r="B185" t="s">
        <v>755</v>
      </c>
      <c r="C185" t="s">
        <v>23</v>
      </c>
      <c r="D185" t="s">
        <v>24</v>
      </c>
      <c r="E185" t="s">
        <v>910</v>
      </c>
      <c r="F185" t="str">
        <f>_xlfn.XLOOKUP(Table3[[#This Row],[pdg_zonecode]],Zones!A:A,Zones!B:B)</f>
        <v>BEYROUTH</v>
      </c>
      <c r="L185">
        <v>0</v>
      </c>
      <c r="N185">
        <v>0</v>
      </c>
      <c r="O185">
        <v>1</v>
      </c>
    </row>
    <row r="186" spans="1:15" x14ac:dyDescent="0.35">
      <c r="A186" t="s">
        <v>756</v>
      </c>
      <c r="B186" t="s">
        <v>757</v>
      </c>
      <c r="C186" t="s">
        <v>23</v>
      </c>
      <c r="D186" t="s">
        <v>24</v>
      </c>
      <c r="E186" t="s">
        <v>910</v>
      </c>
      <c r="F186" t="str">
        <f>_xlfn.XLOOKUP(Table3[[#This Row],[pdg_zonecode]],Zones!A:A,Zones!B:B)</f>
        <v>BEYROUTH</v>
      </c>
      <c r="L186">
        <v>0</v>
      </c>
      <c r="N186">
        <v>0</v>
      </c>
      <c r="O186">
        <v>1</v>
      </c>
    </row>
    <row r="187" spans="1:15" x14ac:dyDescent="0.35">
      <c r="A187" t="s">
        <v>758</v>
      </c>
      <c r="B187" t="s">
        <v>759</v>
      </c>
      <c r="C187" t="s">
        <v>23</v>
      </c>
      <c r="D187" t="s">
        <v>24</v>
      </c>
      <c r="E187" t="s">
        <v>910</v>
      </c>
      <c r="F187" t="str">
        <f>_xlfn.XLOOKUP(Table3[[#This Row],[pdg_zonecode]],Zones!A:A,Zones!B:B)</f>
        <v>BEYROUTH</v>
      </c>
      <c r="L187">
        <v>0</v>
      </c>
      <c r="N187">
        <v>0</v>
      </c>
      <c r="O187">
        <v>1</v>
      </c>
    </row>
    <row r="188" spans="1:15" x14ac:dyDescent="0.35">
      <c r="A188" t="s">
        <v>760</v>
      </c>
      <c r="B188" t="s">
        <v>761</v>
      </c>
      <c r="C188" t="s">
        <v>23</v>
      </c>
      <c r="D188" t="s">
        <v>24</v>
      </c>
      <c r="E188" t="s">
        <v>910</v>
      </c>
      <c r="F188" t="str">
        <f>_xlfn.XLOOKUP(Table3[[#This Row],[pdg_zonecode]],Zones!A:A,Zones!B:B)</f>
        <v>BEYROUTH</v>
      </c>
      <c r="L188">
        <v>0</v>
      </c>
      <c r="N188">
        <v>0</v>
      </c>
      <c r="O188">
        <v>1</v>
      </c>
    </row>
    <row r="189" spans="1:15" x14ac:dyDescent="0.35">
      <c r="A189" t="s">
        <v>762</v>
      </c>
      <c r="B189" t="s">
        <v>763</v>
      </c>
      <c r="C189" t="s">
        <v>23</v>
      </c>
      <c r="D189" t="s">
        <v>24</v>
      </c>
      <c r="E189" t="s">
        <v>910</v>
      </c>
      <c r="F189" t="str">
        <f>_xlfn.XLOOKUP(Table3[[#This Row],[pdg_zonecode]],Zones!A:A,Zones!B:B)</f>
        <v>BEYROUTH</v>
      </c>
      <c r="I189" t="s">
        <v>764</v>
      </c>
      <c r="L189">
        <v>0</v>
      </c>
      <c r="N189">
        <v>0</v>
      </c>
      <c r="O189">
        <v>1</v>
      </c>
    </row>
    <row r="190" spans="1:15" x14ac:dyDescent="0.35">
      <c r="A190" t="s">
        <v>765</v>
      </c>
      <c r="B190" t="s">
        <v>766</v>
      </c>
      <c r="C190" t="s">
        <v>23</v>
      </c>
      <c r="D190" t="s">
        <v>24</v>
      </c>
      <c r="E190" t="s">
        <v>910</v>
      </c>
      <c r="F190" t="str">
        <f>_xlfn.XLOOKUP(Table3[[#This Row],[pdg_zonecode]],Zones!A:A,Zones!B:B)</f>
        <v>BEYROUTH</v>
      </c>
      <c r="I190" t="s">
        <v>767</v>
      </c>
      <c r="L190">
        <v>0</v>
      </c>
      <c r="N190">
        <v>0</v>
      </c>
      <c r="O190">
        <v>1</v>
      </c>
    </row>
    <row r="191" spans="1:15" x14ac:dyDescent="0.35">
      <c r="A191" t="s">
        <v>100</v>
      </c>
      <c r="B191" t="s">
        <v>101</v>
      </c>
      <c r="C191" t="s">
        <v>17</v>
      </c>
      <c r="D191" t="s">
        <v>18</v>
      </c>
      <c r="E191" t="s">
        <v>918</v>
      </c>
      <c r="F191" t="str">
        <f>_xlfn.XLOOKUP(Table3[[#This Row],[pdg_zonecode]],Zones!A:A,Zones!B:B)</f>
        <v>PARIS</v>
      </c>
      <c r="G191" t="s">
        <v>102</v>
      </c>
      <c r="I191" t="s">
        <v>103</v>
      </c>
      <c r="K191" t="s">
        <v>104</v>
      </c>
      <c r="L191">
        <v>0</v>
      </c>
      <c r="N191">
        <v>0</v>
      </c>
      <c r="O191">
        <v>1</v>
      </c>
    </row>
    <row r="192" spans="1:15" x14ac:dyDescent="0.35">
      <c r="A192" t="s">
        <v>768</v>
      </c>
      <c r="B192" t="s">
        <v>769</v>
      </c>
      <c r="C192" t="s">
        <v>23</v>
      </c>
      <c r="D192" t="s">
        <v>24</v>
      </c>
      <c r="E192" t="s">
        <v>910</v>
      </c>
      <c r="F192" t="str">
        <f>_xlfn.XLOOKUP(Table3[[#This Row],[pdg_zonecode]],Zones!A:A,Zones!B:B)</f>
        <v>BEYROUTH</v>
      </c>
      <c r="I192" t="s">
        <v>770</v>
      </c>
      <c r="L192">
        <v>0</v>
      </c>
      <c r="N192">
        <v>0</v>
      </c>
      <c r="O192">
        <v>1</v>
      </c>
    </row>
    <row r="193" spans="1:15" x14ac:dyDescent="0.35">
      <c r="A193" t="s">
        <v>771</v>
      </c>
      <c r="B193" t="s">
        <v>772</v>
      </c>
      <c r="C193" t="s">
        <v>23</v>
      </c>
      <c r="D193" t="s">
        <v>24</v>
      </c>
      <c r="E193" t="s">
        <v>910</v>
      </c>
      <c r="F193" t="str">
        <f>_xlfn.XLOOKUP(Table3[[#This Row],[pdg_zonecode]],Zones!A:A,Zones!B:B)</f>
        <v>BEYROUTH</v>
      </c>
      <c r="I193" t="s">
        <v>773</v>
      </c>
      <c r="L193">
        <v>0</v>
      </c>
      <c r="N193">
        <v>0</v>
      </c>
      <c r="O193">
        <v>1</v>
      </c>
    </row>
    <row r="194" spans="1:15" x14ac:dyDescent="0.35">
      <c r="A194" t="s">
        <v>774</v>
      </c>
      <c r="B194" t="s">
        <v>775</v>
      </c>
      <c r="C194" t="s">
        <v>23</v>
      </c>
      <c r="D194" t="s">
        <v>24</v>
      </c>
      <c r="E194" t="s">
        <v>910</v>
      </c>
      <c r="F194" t="str">
        <f>_xlfn.XLOOKUP(Table3[[#This Row],[pdg_zonecode]],Zones!A:A,Zones!B:B)</f>
        <v>BEYROUTH</v>
      </c>
      <c r="I194" t="s">
        <v>776</v>
      </c>
      <c r="L194">
        <v>0</v>
      </c>
      <c r="N194">
        <v>0</v>
      </c>
      <c r="O194">
        <v>1</v>
      </c>
    </row>
    <row r="195" spans="1:15" x14ac:dyDescent="0.35">
      <c r="A195" t="s">
        <v>777</v>
      </c>
      <c r="B195" t="s">
        <v>778</v>
      </c>
      <c r="C195" t="s">
        <v>23</v>
      </c>
      <c r="D195" t="s">
        <v>24</v>
      </c>
      <c r="E195" t="s">
        <v>910</v>
      </c>
      <c r="F195" t="str">
        <f>_xlfn.XLOOKUP(Table3[[#This Row],[pdg_zonecode]],Zones!A:A,Zones!B:B)</f>
        <v>BEYROUTH</v>
      </c>
      <c r="L195">
        <v>0</v>
      </c>
      <c r="N195">
        <v>0</v>
      </c>
      <c r="O195">
        <v>1</v>
      </c>
    </row>
    <row r="196" spans="1:15" x14ac:dyDescent="0.35">
      <c r="A196" t="s">
        <v>779</v>
      </c>
      <c r="B196" t="s">
        <v>780</v>
      </c>
      <c r="C196" t="s">
        <v>23</v>
      </c>
      <c r="D196" t="s">
        <v>24</v>
      </c>
      <c r="E196" t="s">
        <v>910</v>
      </c>
      <c r="F196" t="str">
        <f>_xlfn.XLOOKUP(Table3[[#This Row],[pdg_zonecode]],Zones!A:A,Zones!B:B)</f>
        <v>BEYROUTH</v>
      </c>
      <c r="L196">
        <v>0</v>
      </c>
      <c r="N196">
        <v>0</v>
      </c>
      <c r="O196">
        <v>1</v>
      </c>
    </row>
    <row r="197" spans="1:15" x14ac:dyDescent="0.35">
      <c r="A197" t="s">
        <v>781</v>
      </c>
      <c r="B197" t="s">
        <v>782</v>
      </c>
      <c r="C197" t="s">
        <v>23</v>
      </c>
      <c r="D197" t="s">
        <v>24</v>
      </c>
      <c r="E197" t="s">
        <v>910</v>
      </c>
      <c r="F197" t="str">
        <f>_xlfn.XLOOKUP(Table3[[#This Row],[pdg_zonecode]],Zones!A:A,Zones!B:B)</f>
        <v>BEYROUTH</v>
      </c>
      <c r="L197">
        <v>0</v>
      </c>
      <c r="N197">
        <v>0</v>
      </c>
      <c r="O197">
        <v>1</v>
      </c>
    </row>
    <row r="198" spans="1:15" x14ac:dyDescent="0.35">
      <c r="A198" t="s">
        <v>783</v>
      </c>
      <c r="B198" t="s">
        <v>784</v>
      </c>
      <c r="C198" t="s">
        <v>23</v>
      </c>
      <c r="D198" t="s">
        <v>24</v>
      </c>
      <c r="E198" t="s">
        <v>910</v>
      </c>
      <c r="F198" t="str">
        <f>_xlfn.XLOOKUP(Table3[[#This Row],[pdg_zonecode]],Zones!A:A,Zones!B:B)</f>
        <v>BEYROUTH</v>
      </c>
      <c r="I198" t="s">
        <v>785</v>
      </c>
      <c r="L198">
        <v>0</v>
      </c>
      <c r="N198">
        <v>0</v>
      </c>
      <c r="O198">
        <v>1</v>
      </c>
    </row>
    <row r="199" spans="1:15" x14ac:dyDescent="0.35">
      <c r="A199" t="s">
        <v>786</v>
      </c>
      <c r="B199" t="s">
        <v>787</v>
      </c>
      <c r="C199" t="s">
        <v>23</v>
      </c>
      <c r="D199" t="s">
        <v>24</v>
      </c>
      <c r="E199" t="s">
        <v>910</v>
      </c>
      <c r="F199" t="str">
        <f>_xlfn.XLOOKUP(Table3[[#This Row],[pdg_zonecode]],Zones!A:A,Zones!B:B)</f>
        <v>BEYROUTH</v>
      </c>
      <c r="L199">
        <v>0</v>
      </c>
      <c r="N199">
        <v>0</v>
      </c>
      <c r="O199">
        <v>1</v>
      </c>
    </row>
    <row r="200" spans="1:15" x14ac:dyDescent="0.35">
      <c r="A200" t="s">
        <v>788</v>
      </c>
      <c r="B200" t="s">
        <v>789</v>
      </c>
      <c r="C200" t="s">
        <v>23</v>
      </c>
      <c r="D200" t="s">
        <v>24</v>
      </c>
      <c r="E200" t="s">
        <v>910</v>
      </c>
      <c r="F200" t="str">
        <f>_xlfn.XLOOKUP(Table3[[#This Row],[pdg_zonecode]],Zones!A:A,Zones!B:B)</f>
        <v>BEYROUTH</v>
      </c>
      <c r="L200">
        <v>0</v>
      </c>
      <c r="N200">
        <v>0</v>
      </c>
      <c r="O200">
        <v>1</v>
      </c>
    </row>
    <row r="201" spans="1:15" x14ac:dyDescent="0.35">
      <c r="A201" t="s">
        <v>790</v>
      </c>
      <c r="B201" t="s">
        <v>791</v>
      </c>
      <c r="C201" t="s">
        <v>23</v>
      </c>
      <c r="D201" t="s">
        <v>24</v>
      </c>
      <c r="E201" t="s">
        <v>910</v>
      </c>
      <c r="F201" t="str">
        <f>_xlfn.XLOOKUP(Table3[[#This Row],[pdg_zonecode]],Zones!A:A,Zones!B:B)</f>
        <v>BEYROUTH</v>
      </c>
      <c r="L201">
        <v>0</v>
      </c>
      <c r="N201">
        <v>0</v>
      </c>
      <c r="O201">
        <v>1</v>
      </c>
    </row>
    <row r="202" spans="1:15" x14ac:dyDescent="0.35">
      <c r="A202" t="s">
        <v>105</v>
      </c>
      <c r="B202" t="s">
        <v>106</v>
      </c>
      <c r="C202" t="s">
        <v>17</v>
      </c>
      <c r="D202" t="s">
        <v>18</v>
      </c>
      <c r="E202" t="s">
        <v>932</v>
      </c>
      <c r="F202" t="str">
        <f>_xlfn.XLOOKUP(Table3[[#This Row],[pdg_zonecode]],Zones!A:A,Zones!B:B)</f>
        <v>BANGRAK</v>
      </c>
      <c r="G202" t="s">
        <v>107</v>
      </c>
      <c r="H202" t="s">
        <v>108</v>
      </c>
      <c r="I202" t="s">
        <v>109</v>
      </c>
      <c r="J202" t="s">
        <v>110</v>
      </c>
      <c r="K202" t="s">
        <v>111</v>
      </c>
      <c r="L202">
        <v>0</v>
      </c>
      <c r="N202">
        <v>0</v>
      </c>
      <c r="O202">
        <v>1</v>
      </c>
    </row>
    <row r="203" spans="1:15" x14ac:dyDescent="0.35">
      <c r="A203" t="s">
        <v>792</v>
      </c>
      <c r="B203" t="s">
        <v>793</v>
      </c>
      <c r="C203" t="s">
        <v>27</v>
      </c>
      <c r="D203" t="s">
        <v>28</v>
      </c>
      <c r="E203" t="s">
        <v>910</v>
      </c>
      <c r="F203" t="str">
        <f>_xlfn.XLOOKUP(Table3[[#This Row],[pdg_zonecode]],Zones!A:A,Zones!B:B)</f>
        <v>BEYROUTH</v>
      </c>
      <c r="G203" t="s">
        <v>794</v>
      </c>
      <c r="H203" t="s">
        <v>795</v>
      </c>
      <c r="I203" t="s">
        <v>796</v>
      </c>
      <c r="L203">
        <v>0</v>
      </c>
      <c r="N203">
        <v>0</v>
      </c>
      <c r="O203">
        <v>1</v>
      </c>
    </row>
    <row r="204" spans="1:15" x14ac:dyDescent="0.35">
      <c r="A204" t="s">
        <v>797</v>
      </c>
      <c r="B204" t="s">
        <v>798</v>
      </c>
      <c r="C204" t="s">
        <v>23</v>
      </c>
      <c r="D204" t="s">
        <v>24</v>
      </c>
      <c r="E204" t="s">
        <v>902</v>
      </c>
      <c r="F204" t="str">
        <f>_xlfn.XLOOKUP(Table3[[#This Row],[pdg_zonecode]],Zones!A:A,Zones!B:B)</f>
        <v>LEBANON</v>
      </c>
      <c r="L204">
        <v>0</v>
      </c>
      <c r="N204">
        <v>0</v>
      </c>
      <c r="O204">
        <v>1</v>
      </c>
    </row>
    <row r="205" spans="1:15" x14ac:dyDescent="0.35">
      <c r="A205" t="s">
        <v>799</v>
      </c>
      <c r="B205" t="s">
        <v>800</v>
      </c>
      <c r="C205" t="s">
        <v>23</v>
      </c>
      <c r="D205" t="s">
        <v>24</v>
      </c>
      <c r="E205" t="s">
        <v>910</v>
      </c>
      <c r="F205" t="str">
        <f>_xlfn.XLOOKUP(Table3[[#This Row],[pdg_zonecode]],Zones!A:A,Zones!B:B)</f>
        <v>BEYROUTH</v>
      </c>
      <c r="G205" t="s">
        <v>801</v>
      </c>
      <c r="I205" t="s">
        <v>802</v>
      </c>
      <c r="L205">
        <v>0</v>
      </c>
      <c r="N205">
        <v>0</v>
      </c>
      <c r="O205">
        <v>1</v>
      </c>
    </row>
    <row r="206" spans="1:15" x14ac:dyDescent="0.35">
      <c r="A206" t="s">
        <v>803</v>
      </c>
      <c r="B206" t="s">
        <v>804</v>
      </c>
      <c r="C206" t="s">
        <v>23</v>
      </c>
      <c r="D206" t="s">
        <v>24</v>
      </c>
      <c r="E206" t="s">
        <v>902</v>
      </c>
      <c r="F206" t="str">
        <f>_xlfn.XLOOKUP(Table3[[#This Row],[pdg_zonecode]],Zones!A:A,Zones!B:B)</f>
        <v>LEBANON</v>
      </c>
      <c r="L206">
        <v>0</v>
      </c>
      <c r="N206">
        <v>0</v>
      </c>
      <c r="O206">
        <v>1</v>
      </c>
    </row>
    <row r="207" spans="1:15" x14ac:dyDescent="0.35">
      <c r="A207" t="s">
        <v>805</v>
      </c>
      <c r="B207" t="s">
        <v>806</v>
      </c>
      <c r="C207" t="s">
        <v>27</v>
      </c>
      <c r="D207" t="s">
        <v>28</v>
      </c>
      <c r="E207" t="s">
        <v>910</v>
      </c>
      <c r="F207" t="str">
        <f>_xlfn.XLOOKUP(Table3[[#This Row],[pdg_zonecode]],Zones!A:A,Zones!B:B)</f>
        <v>BEYROUTH</v>
      </c>
      <c r="L207">
        <v>0</v>
      </c>
      <c r="N207">
        <v>0</v>
      </c>
      <c r="O207">
        <v>1</v>
      </c>
    </row>
    <row r="208" spans="1:15" x14ac:dyDescent="0.35">
      <c r="A208" t="s">
        <v>807</v>
      </c>
      <c r="B208" t="s">
        <v>808</v>
      </c>
      <c r="C208" t="s">
        <v>17</v>
      </c>
      <c r="D208" t="s">
        <v>18</v>
      </c>
      <c r="E208" t="s">
        <v>912</v>
      </c>
      <c r="F208" t="str">
        <f>_xlfn.XLOOKUP(Table3[[#This Row],[pdg_zonecode]],Zones!A:A,Zones!B:B)</f>
        <v>SAUDI ARABIA</v>
      </c>
      <c r="G208" t="s">
        <v>809</v>
      </c>
      <c r="L208">
        <v>0</v>
      </c>
      <c r="N208">
        <v>0</v>
      </c>
      <c r="O208">
        <v>1</v>
      </c>
    </row>
    <row r="209" spans="1:15" x14ac:dyDescent="0.35">
      <c r="A209" t="s">
        <v>810</v>
      </c>
      <c r="B209" t="s">
        <v>811</v>
      </c>
      <c r="C209" t="s">
        <v>27</v>
      </c>
      <c r="D209" t="s">
        <v>28</v>
      </c>
      <c r="E209" t="s">
        <v>902</v>
      </c>
      <c r="F209" t="str">
        <f>_xlfn.XLOOKUP(Table3[[#This Row],[pdg_zonecode]],Zones!A:A,Zones!B:B)</f>
        <v>LEBANON</v>
      </c>
      <c r="L209">
        <v>0</v>
      </c>
      <c r="N209">
        <v>0</v>
      </c>
      <c r="O209">
        <v>1</v>
      </c>
    </row>
    <row r="210" spans="1:15" x14ac:dyDescent="0.35">
      <c r="A210" t="s">
        <v>812</v>
      </c>
      <c r="B210" t="s">
        <v>813</v>
      </c>
      <c r="C210" t="s">
        <v>27</v>
      </c>
      <c r="D210" t="s">
        <v>28</v>
      </c>
      <c r="E210" t="s">
        <v>910</v>
      </c>
      <c r="F210" t="str">
        <f>_xlfn.XLOOKUP(Table3[[#This Row],[pdg_zonecode]],Zones!A:A,Zones!B:B)</f>
        <v>BEYROUTH</v>
      </c>
      <c r="G210" t="s">
        <v>814</v>
      </c>
      <c r="H210" t="s">
        <v>815</v>
      </c>
      <c r="I210" t="s">
        <v>816</v>
      </c>
      <c r="L210">
        <v>0</v>
      </c>
      <c r="N210">
        <v>0</v>
      </c>
      <c r="O210">
        <v>1</v>
      </c>
    </row>
    <row r="211" spans="1:15" x14ac:dyDescent="0.35">
      <c r="A211" t="s">
        <v>817</v>
      </c>
      <c r="B211" t="s">
        <v>818</v>
      </c>
      <c r="C211" t="s">
        <v>17</v>
      </c>
      <c r="D211" t="s">
        <v>18</v>
      </c>
      <c r="E211" t="s">
        <v>904</v>
      </c>
      <c r="F211" t="str">
        <f>_xlfn.XLOOKUP(Table3[[#This Row],[pdg_zonecode]],Zones!A:A,Zones!B:B)</f>
        <v>SWITZERLAND</v>
      </c>
      <c r="G211" t="s">
        <v>819</v>
      </c>
      <c r="H211" t="s">
        <v>820</v>
      </c>
      <c r="L211">
        <v>0</v>
      </c>
      <c r="N211">
        <v>0</v>
      </c>
      <c r="O211">
        <v>1</v>
      </c>
    </row>
    <row r="212" spans="1:15" x14ac:dyDescent="0.35">
      <c r="A212" t="s">
        <v>821</v>
      </c>
      <c r="B212" t="s">
        <v>822</v>
      </c>
      <c r="C212" t="s">
        <v>27</v>
      </c>
      <c r="D212" t="s">
        <v>28</v>
      </c>
      <c r="E212" t="s">
        <v>910</v>
      </c>
      <c r="F212" t="str">
        <f>_xlfn.XLOOKUP(Table3[[#This Row],[pdg_zonecode]],Zones!A:A,Zones!B:B)</f>
        <v>BEYROUTH</v>
      </c>
      <c r="G212" t="s">
        <v>823</v>
      </c>
      <c r="H212" t="s">
        <v>824</v>
      </c>
      <c r="I212" t="s">
        <v>825</v>
      </c>
      <c r="J212" t="s">
        <v>826</v>
      </c>
      <c r="L212">
        <v>0</v>
      </c>
      <c r="N212">
        <v>0</v>
      </c>
      <c r="O212">
        <v>1</v>
      </c>
    </row>
    <row r="213" spans="1:15" x14ac:dyDescent="0.35">
      <c r="A213" t="s">
        <v>112</v>
      </c>
      <c r="B213" t="s">
        <v>113</v>
      </c>
      <c r="C213" t="s">
        <v>17</v>
      </c>
      <c r="D213" t="s">
        <v>18</v>
      </c>
      <c r="E213" t="s">
        <v>916</v>
      </c>
      <c r="F213" t="str">
        <f>_xlfn.XLOOKUP(Table3[[#This Row],[pdg_zonecode]],Zones!A:A,Zones!B:B)</f>
        <v>GENEVE</v>
      </c>
      <c r="L213">
        <v>0</v>
      </c>
      <c r="N213">
        <v>0</v>
      </c>
      <c r="O213">
        <v>1</v>
      </c>
    </row>
    <row r="214" spans="1:15" x14ac:dyDescent="0.35">
      <c r="A214" t="s">
        <v>827</v>
      </c>
      <c r="B214" t="s">
        <v>828</v>
      </c>
      <c r="C214" t="s">
        <v>17</v>
      </c>
      <c r="D214" t="s">
        <v>18</v>
      </c>
      <c r="E214" t="s">
        <v>86</v>
      </c>
      <c r="F214" t="str">
        <f>_xlfn.XLOOKUP(Table3[[#This Row],[pdg_zonecode]],Zones!A:A,Zones!B:B)</f>
        <v>ITALY</v>
      </c>
      <c r="G214" t="s">
        <v>829</v>
      </c>
      <c r="H214" t="s">
        <v>830</v>
      </c>
      <c r="I214" t="s">
        <v>831</v>
      </c>
      <c r="K214" t="s">
        <v>832</v>
      </c>
      <c r="L214">
        <v>0</v>
      </c>
      <c r="N214">
        <v>0</v>
      </c>
      <c r="O214">
        <v>1</v>
      </c>
    </row>
    <row r="215" spans="1:15" x14ac:dyDescent="0.35">
      <c r="A215" t="s">
        <v>833</v>
      </c>
      <c r="B215" t="s">
        <v>834</v>
      </c>
      <c r="C215" t="s">
        <v>17</v>
      </c>
      <c r="D215" t="s">
        <v>18</v>
      </c>
      <c r="E215" t="s">
        <v>265</v>
      </c>
      <c r="F215" t="str">
        <f>_xlfn.XLOOKUP(Table3[[#This Row],[pdg_zonecode]],Zones!A:A,Zones!B:B)</f>
        <v>DUBAI</v>
      </c>
      <c r="G215" t="s">
        <v>835</v>
      </c>
      <c r="H215" t="s">
        <v>836</v>
      </c>
      <c r="I215" t="s">
        <v>837</v>
      </c>
      <c r="K215" t="s">
        <v>838</v>
      </c>
      <c r="L215">
        <v>0</v>
      </c>
      <c r="N215">
        <v>0</v>
      </c>
      <c r="O215">
        <v>1</v>
      </c>
    </row>
    <row r="216" spans="1:15" x14ac:dyDescent="0.35">
      <c r="A216" t="s">
        <v>839</v>
      </c>
      <c r="B216" t="s">
        <v>840</v>
      </c>
      <c r="C216" t="s">
        <v>27</v>
      </c>
      <c r="D216" t="s">
        <v>28</v>
      </c>
      <c r="E216" t="s">
        <v>902</v>
      </c>
      <c r="F216" t="str">
        <f>_xlfn.XLOOKUP(Table3[[#This Row],[pdg_zonecode]],Zones!A:A,Zones!B:B)</f>
        <v>LEBANON</v>
      </c>
      <c r="L216">
        <v>0</v>
      </c>
      <c r="N216">
        <v>0</v>
      </c>
      <c r="O216">
        <v>1</v>
      </c>
    </row>
    <row r="217" spans="1:15" x14ac:dyDescent="0.35">
      <c r="A217" t="s">
        <v>841</v>
      </c>
      <c r="B217" t="s">
        <v>842</v>
      </c>
      <c r="C217" t="s">
        <v>27</v>
      </c>
      <c r="D217" t="s">
        <v>28</v>
      </c>
      <c r="E217" t="s">
        <v>902</v>
      </c>
      <c r="F217" t="str">
        <f>_xlfn.XLOOKUP(Table3[[#This Row],[pdg_zonecode]],Zones!A:A,Zones!B:B)</f>
        <v>LEBANON</v>
      </c>
      <c r="L217">
        <v>0</v>
      </c>
      <c r="N217">
        <v>0</v>
      </c>
      <c r="O217">
        <v>1</v>
      </c>
    </row>
    <row r="218" spans="1:15" x14ac:dyDescent="0.35">
      <c r="A218" t="s">
        <v>843</v>
      </c>
      <c r="B218" t="s">
        <v>844</v>
      </c>
      <c r="C218" t="s">
        <v>27</v>
      </c>
      <c r="D218" t="s">
        <v>28</v>
      </c>
      <c r="E218" t="s">
        <v>902</v>
      </c>
      <c r="F218" t="str">
        <f>_xlfn.XLOOKUP(Table3[[#This Row],[pdg_zonecode]],Zones!A:A,Zones!B:B)</f>
        <v>LEBANON</v>
      </c>
      <c r="G218" t="s">
        <v>845</v>
      </c>
      <c r="I218" t="s">
        <v>846</v>
      </c>
      <c r="L218">
        <v>0</v>
      </c>
      <c r="N218">
        <v>0</v>
      </c>
      <c r="O218">
        <v>1</v>
      </c>
    </row>
    <row r="219" spans="1:15" x14ac:dyDescent="0.35">
      <c r="A219" t="s">
        <v>847</v>
      </c>
      <c r="B219" t="s">
        <v>91</v>
      </c>
      <c r="C219" t="s">
        <v>27</v>
      </c>
      <c r="D219" t="s">
        <v>28</v>
      </c>
      <c r="E219" t="s">
        <v>910</v>
      </c>
      <c r="F219" t="str">
        <f>_xlfn.XLOOKUP(Table3[[#This Row],[pdg_zonecode]],Zones!A:A,Zones!B:B)</f>
        <v>BEYROUTH</v>
      </c>
      <c r="G219" t="s">
        <v>848</v>
      </c>
      <c r="I219" t="s">
        <v>816</v>
      </c>
      <c r="L219">
        <v>0</v>
      </c>
      <c r="N219">
        <v>0</v>
      </c>
      <c r="O219">
        <v>1</v>
      </c>
    </row>
    <row r="220" spans="1:15" x14ac:dyDescent="0.35">
      <c r="A220" t="s">
        <v>849</v>
      </c>
      <c r="B220" t="s">
        <v>850</v>
      </c>
      <c r="C220" t="s">
        <v>27</v>
      </c>
      <c r="D220" t="s">
        <v>28</v>
      </c>
      <c r="E220" t="s">
        <v>902</v>
      </c>
      <c r="F220" t="str">
        <f>_xlfn.XLOOKUP(Table3[[#This Row],[pdg_zonecode]],Zones!A:A,Zones!B:B)</f>
        <v>LEBANON</v>
      </c>
      <c r="L220">
        <v>0</v>
      </c>
      <c r="N220">
        <v>0</v>
      </c>
      <c r="O220">
        <v>1</v>
      </c>
    </row>
    <row r="221" spans="1:15" x14ac:dyDescent="0.35">
      <c r="A221" t="s">
        <v>851</v>
      </c>
      <c r="B221" t="s">
        <v>852</v>
      </c>
      <c r="C221" t="s">
        <v>17</v>
      </c>
      <c r="D221" t="s">
        <v>18</v>
      </c>
      <c r="E221" t="s">
        <v>265</v>
      </c>
      <c r="F221" t="str">
        <f>_xlfn.XLOOKUP(Table3[[#This Row],[pdg_zonecode]],Zones!A:A,Zones!B:B)</f>
        <v>DUBAI</v>
      </c>
      <c r="G221" t="s">
        <v>853</v>
      </c>
      <c r="I221" t="s">
        <v>854</v>
      </c>
      <c r="J221" t="s">
        <v>855</v>
      </c>
      <c r="L221">
        <v>0</v>
      </c>
      <c r="N221">
        <v>0</v>
      </c>
      <c r="O221">
        <v>1</v>
      </c>
    </row>
    <row r="222" spans="1:15" x14ac:dyDescent="0.35">
      <c r="A222" t="s">
        <v>856</v>
      </c>
      <c r="B222" t="s">
        <v>857</v>
      </c>
      <c r="C222" t="s">
        <v>27</v>
      </c>
      <c r="D222" t="s">
        <v>28</v>
      </c>
      <c r="E222" t="s">
        <v>902</v>
      </c>
      <c r="F222" t="str">
        <f>_xlfn.XLOOKUP(Table3[[#This Row],[pdg_zonecode]],Zones!A:A,Zones!B:B)</f>
        <v>LEBANON</v>
      </c>
      <c r="G222" t="s">
        <v>858</v>
      </c>
      <c r="L222">
        <v>0</v>
      </c>
      <c r="N222">
        <v>0</v>
      </c>
      <c r="O222">
        <v>1</v>
      </c>
    </row>
    <row r="223" spans="1:15" x14ac:dyDescent="0.35">
      <c r="A223" t="s">
        <v>859</v>
      </c>
      <c r="B223" t="s">
        <v>860</v>
      </c>
      <c r="C223" t="s">
        <v>17</v>
      </c>
      <c r="D223" t="s">
        <v>18</v>
      </c>
      <c r="E223" t="s">
        <v>168</v>
      </c>
      <c r="F223" t="str">
        <f>_xlfn.XLOOKUP(Table3[[#This Row],[pdg_zonecode]],Zones!A:A,Zones!B:B)</f>
        <v>HONGKONG</v>
      </c>
      <c r="G223" t="s">
        <v>861</v>
      </c>
      <c r="I223" t="s">
        <v>862</v>
      </c>
      <c r="L223">
        <v>0</v>
      </c>
      <c r="N223">
        <v>0</v>
      </c>
      <c r="O223">
        <v>1</v>
      </c>
    </row>
    <row r="224" spans="1:15" x14ac:dyDescent="0.35">
      <c r="A224" t="s">
        <v>25</v>
      </c>
      <c r="B224" t="s">
        <v>26</v>
      </c>
      <c r="C224" t="s">
        <v>27</v>
      </c>
      <c r="D224" t="s">
        <v>28</v>
      </c>
      <c r="E224" t="s">
        <v>902</v>
      </c>
      <c r="F224" t="str">
        <f>_xlfn.XLOOKUP(Table3[[#This Row],[pdg_zonecode]],Zones!A:A,Zones!B:B)</f>
        <v>LEBANON</v>
      </c>
      <c r="L224">
        <v>0</v>
      </c>
      <c r="N224">
        <v>0</v>
      </c>
      <c r="O224">
        <v>1</v>
      </c>
    </row>
    <row r="225" spans="1:15" x14ac:dyDescent="0.35">
      <c r="A225" t="s">
        <v>114</v>
      </c>
      <c r="B225" t="s">
        <v>115</v>
      </c>
      <c r="C225" t="s">
        <v>27</v>
      </c>
      <c r="D225" t="s">
        <v>28</v>
      </c>
      <c r="E225" t="s">
        <v>910</v>
      </c>
      <c r="F225" t="str">
        <f>_xlfn.XLOOKUP(Table3[[#This Row],[pdg_zonecode]],Zones!A:A,Zones!B:B)</f>
        <v>BEYROUTH</v>
      </c>
      <c r="L225">
        <v>0</v>
      </c>
      <c r="N225">
        <v>0</v>
      </c>
      <c r="O225">
        <v>1</v>
      </c>
    </row>
    <row r="226" spans="1:15" x14ac:dyDescent="0.35">
      <c r="A226" t="s">
        <v>863</v>
      </c>
      <c r="B226" t="s">
        <v>864</v>
      </c>
      <c r="C226" t="s">
        <v>17</v>
      </c>
      <c r="D226" t="s">
        <v>18</v>
      </c>
      <c r="E226" t="s">
        <v>931</v>
      </c>
      <c r="F226" t="str">
        <f>_xlfn.XLOOKUP(Table3[[#This Row],[pdg_zonecode]],Zones!A:A,Zones!B:B)</f>
        <v>BANGKOK</v>
      </c>
      <c r="G226" t="s">
        <v>865</v>
      </c>
      <c r="I226" t="s">
        <v>866</v>
      </c>
      <c r="L226">
        <v>0</v>
      </c>
      <c r="N226">
        <v>0</v>
      </c>
      <c r="O226">
        <v>1</v>
      </c>
    </row>
    <row r="227" spans="1:15" x14ac:dyDescent="0.35">
      <c r="A227" t="s">
        <v>31</v>
      </c>
      <c r="B227" t="s">
        <v>867</v>
      </c>
      <c r="C227" t="s">
        <v>27</v>
      </c>
      <c r="D227" t="s">
        <v>28</v>
      </c>
      <c r="E227" t="s">
        <v>902</v>
      </c>
      <c r="F227" t="str">
        <f>_xlfn.XLOOKUP(Table3[[#This Row],[pdg_zonecode]],Zones!A:A,Zones!B:B)</f>
        <v>LEBANON</v>
      </c>
      <c r="G227" t="s">
        <v>868</v>
      </c>
      <c r="L227">
        <v>0</v>
      </c>
      <c r="N227">
        <v>0</v>
      </c>
      <c r="O227">
        <v>1</v>
      </c>
    </row>
    <row r="228" spans="1:15" x14ac:dyDescent="0.35">
      <c r="A228" t="s">
        <v>45</v>
      </c>
      <c r="B228" t="s">
        <v>869</v>
      </c>
      <c r="C228" t="s">
        <v>27</v>
      </c>
      <c r="D228" t="s">
        <v>28</v>
      </c>
      <c r="E228" t="s">
        <v>902</v>
      </c>
      <c r="F228" t="str">
        <f>_xlfn.XLOOKUP(Table3[[#This Row],[pdg_zonecode]],Zones!A:A,Zones!B:B)</f>
        <v>LEBANON</v>
      </c>
      <c r="G228" t="s">
        <v>870</v>
      </c>
      <c r="H228" t="s">
        <v>871</v>
      </c>
      <c r="L228">
        <v>0</v>
      </c>
      <c r="N228">
        <v>0</v>
      </c>
      <c r="O228">
        <v>1</v>
      </c>
    </row>
    <row r="229" spans="1:15" x14ac:dyDescent="0.35">
      <c r="A229" t="s">
        <v>872</v>
      </c>
      <c r="B229" t="s">
        <v>873</v>
      </c>
      <c r="C229" t="s">
        <v>27</v>
      </c>
      <c r="D229" t="s">
        <v>28</v>
      </c>
      <c r="E229" t="s">
        <v>902</v>
      </c>
      <c r="F229" t="str">
        <f>_xlfn.XLOOKUP(Table3[[#This Row],[pdg_zonecode]],Zones!A:A,Zones!B:B)</f>
        <v>LEBANON</v>
      </c>
      <c r="G229" t="s">
        <v>874</v>
      </c>
      <c r="L229">
        <v>0</v>
      </c>
      <c r="N229">
        <v>0</v>
      </c>
      <c r="O229">
        <v>1</v>
      </c>
    </row>
    <row r="230" spans="1:15" x14ac:dyDescent="0.35">
      <c r="A230" t="s">
        <v>875</v>
      </c>
      <c r="B230" t="s">
        <v>876</v>
      </c>
      <c r="C230" t="s">
        <v>17</v>
      </c>
      <c r="D230" t="s">
        <v>18</v>
      </c>
      <c r="E230" t="s">
        <v>931</v>
      </c>
      <c r="F230" t="str">
        <f>_xlfn.XLOOKUP(Table3[[#This Row],[pdg_zonecode]],Zones!A:A,Zones!B:B)</f>
        <v>BANGKOK</v>
      </c>
      <c r="G230" t="s">
        <v>877</v>
      </c>
      <c r="H230" t="s">
        <v>878</v>
      </c>
      <c r="I230" t="s">
        <v>879</v>
      </c>
      <c r="K230" t="s">
        <v>880</v>
      </c>
      <c r="L230">
        <v>0</v>
      </c>
      <c r="N230">
        <v>0</v>
      </c>
      <c r="O230">
        <v>1</v>
      </c>
    </row>
    <row r="231" spans="1:15" x14ac:dyDescent="0.35">
      <c r="A231" t="s">
        <v>881</v>
      </c>
      <c r="B231" t="s">
        <v>882</v>
      </c>
      <c r="C231" t="s">
        <v>17</v>
      </c>
      <c r="D231" t="s">
        <v>18</v>
      </c>
      <c r="E231" t="s">
        <v>86</v>
      </c>
      <c r="F231" t="str">
        <f>_xlfn.XLOOKUP(Table3[[#This Row],[pdg_zonecode]],Zones!A:A,Zones!B:B)</f>
        <v>ITALY</v>
      </c>
      <c r="G231" t="s">
        <v>883</v>
      </c>
      <c r="I231" t="s">
        <v>884</v>
      </c>
      <c r="J231" t="s">
        <v>885</v>
      </c>
      <c r="L231">
        <v>0</v>
      </c>
      <c r="N231">
        <v>0</v>
      </c>
      <c r="O231">
        <v>1</v>
      </c>
    </row>
    <row r="232" spans="1:15" x14ac:dyDescent="0.35">
      <c r="A232" t="s">
        <v>886</v>
      </c>
      <c r="B232" t="s">
        <v>887</v>
      </c>
      <c r="C232" t="s">
        <v>17</v>
      </c>
      <c r="D232" t="s">
        <v>18</v>
      </c>
      <c r="E232" t="s">
        <v>931</v>
      </c>
      <c r="F232" t="str">
        <f>_xlfn.XLOOKUP(Table3[[#This Row],[pdg_zonecode]],Zones!A:A,Zones!B:B)</f>
        <v>BANGKOK</v>
      </c>
      <c r="G232" t="s">
        <v>888</v>
      </c>
      <c r="I232" t="s">
        <v>889</v>
      </c>
      <c r="J232" t="s">
        <v>890</v>
      </c>
      <c r="L232">
        <v>0</v>
      </c>
      <c r="N232">
        <v>0</v>
      </c>
      <c r="O232">
        <v>1</v>
      </c>
    </row>
    <row r="233" spans="1:15" x14ac:dyDescent="0.35">
      <c r="A233" t="s">
        <v>891</v>
      </c>
      <c r="B233" t="s">
        <v>892</v>
      </c>
      <c r="C233" t="s">
        <v>17</v>
      </c>
      <c r="D233" t="s">
        <v>18</v>
      </c>
      <c r="E233" t="s">
        <v>932</v>
      </c>
      <c r="F233" t="str">
        <f>_xlfn.XLOOKUP(Table3[[#This Row],[pdg_zonecode]],Zones!A:A,Zones!B:B)</f>
        <v>BANGRAK</v>
      </c>
      <c r="G233" t="s">
        <v>893</v>
      </c>
      <c r="I233" t="s">
        <v>894</v>
      </c>
      <c r="J233" t="s">
        <v>895</v>
      </c>
      <c r="L233">
        <v>0</v>
      </c>
      <c r="N233">
        <v>0</v>
      </c>
      <c r="O233">
        <v>1</v>
      </c>
    </row>
    <row r="234" spans="1:15" x14ac:dyDescent="0.35">
      <c r="A234" t="s">
        <v>896</v>
      </c>
      <c r="B234" t="s">
        <v>897</v>
      </c>
      <c r="C234" t="s">
        <v>27</v>
      </c>
      <c r="D234" t="s">
        <v>28</v>
      </c>
      <c r="E234" t="s">
        <v>902</v>
      </c>
      <c r="F234" t="str">
        <f>_xlfn.XLOOKUP(Table3[[#This Row],[pdg_zonecode]],Zones!A:A,Zones!B:B)</f>
        <v>LEBANON</v>
      </c>
      <c r="L234">
        <v>0</v>
      </c>
      <c r="N234">
        <v>0</v>
      </c>
      <c r="O234">
        <v>1</v>
      </c>
    </row>
    <row r="235" spans="1:15" x14ac:dyDescent="0.35">
      <c r="A235" t="s">
        <v>116</v>
      </c>
      <c r="B235" t="s">
        <v>117</v>
      </c>
      <c r="C235" t="s">
        <v>27</v>
      </c>
      <c r="D235" t="s">
        <v>28</v>
      </c>
      <c r="E235" t="s">
        <v>910</v>
      </c>
      <c r="F235" t="str">
        <f>_xlfn.XLOOKUP(Table3[[#This Row],[pdg_zonecode]],Zones!A:A,Zones!B:B)</f>
        <v>BEYROUTH</v>
      </c>
      <c r="G235" t="s">
        <v>118</v>
      </c>
      <c r="L235">
        <v>0</v>
      </c>
      <c r="N235">
        <v>0</v>
      </c>
      <c r="O235">
        <v>1</v>
      </c>
    </row>
    <row r="236" spans="1:15" x14ac:dyDescent="0.35">
      <c r="A236" t="s">
        <v>119</v>
      </c>
      <c r="B236" t="s">
        <v>120</v>
      </c>
      <c r="C236" t="s">
        <v>27</v>
      </c>
      <c r="D236" t="s">
        <v>28</v>
      </c>
      <c r="E236" t="s">
        <v>910</v>
      </c>
      <c r="F236" t="str">
        <f>_xlfn.XLOOKUP(Table3[[#This Row],[pdg_zonecode]],Zones!A:A,Zones!B:B)</f>
        <v>BEYROUTH</v>
      </c>
      <c r="G236" t="s">
        <v>118</v>
      </c>
      <c r="L236">
        <v>0</v>
      </c>
      <c r="N236">
        <v>0</v>
      </c>
      <c r="O236">
        <v>1</v>
      </c>
    </row>
    <row r="237" spans="1:15" x14ac:dyDescent="0.35">
      <c r="A237" t="s">
        <v>121</v>
      </c>
      <c r="B237" t="s">
        <v>122</v>
      </c>
      <c r="C237" t="s">
        <v>27</v>
      </c>
      <c r="D237" t="s">
        <v>28</v>
      </c>
      <c r="E237" t="s">
        <v>910</v>
      </c>
      <c r="F237" t="str">
        <f>_xlfn.XLOOKUP(Table3[[#This Row],[pdg_zonecode]],Zones!A:A,Zones!B:B)</f>
        <v>BEYROUTH</v>
      </c>
      <c r="L237">
        <v>0</v>
      </c>
      <c r="N237">
        <v>0</v>
      </c>
      <c r="O237">
        <v>1</v>
      </c>
    </row>
    <row r="238" spans="1:15" x14ac:dyDescent="0.35">
      <c r="A238" t="s">
        <v>123</v>
      </c>
      <c r="B238" t="s">
        <v>124</v>
      </c>
      <c r="C238" t="s">
        <v>17</v>
      </c>
      <c r="D238" t="s">
        <v>18</v>
      </c>
      <c r="E238" t="s">
        <v>904</v>
      </c>
      <c r="F238" t="str">
        <f>_xlfn.XLOOKUP(Table3[[#This Row],[pdg_zonecode]],Zones!A:A,Zones!B:B)</f>
        <v>SWITZERLAND</v>
      </c>
      <c r="L238">
        <v>2</v>
      </c>
      <c r="N238">
        <v>0</v>
      </c>
      <c r="O238">
        <v>1</v>
      </c>
    </row>
    <row r="239" spans="1:15" x14ac:dyDescent="0.35">
      <c r="A239" t="s">
        <v>125</v>
      </c>
      <c r="B239" t="s">
        <v>126</v>
      </c>
      <c r="C239" t="s">
        <v>27</v>
      </c>
      <c r="D239" t="s">
        <v>28</v>
      </c>
      <c r="E239" t="s">
        <v>910</v>
      </c>
      <c r="F239" t="str">
        <f>_xlfn.XLOOKUP(Table3[[#This Row],[pdg_zonecode]],Zones!A:A,Zones!B:B)</f>
        <v>BEYROUTH</v>
      </c>
      <c r="I239" t="s">
        <v>127</v>
      </c>
      <c r="J239" t="s">
        <v>128</v>
      </c>
      <c r="L239">
        <v>0</v>
      </c>
      <c r="N239">
        <v>0</v>
      </c>
      <c r="O239">
        <v>1</v>
      </c>
    </row>
    <row r="240" spans="1:15" x14ac:dyDescent="0.35">
      <c r="A240" t="s">
        <v>129</v>
      </c>
      <c r="B240" t="s">
        <v>130</v>
      </c>
      <c r="C240" t="s">
        <v>17</v>
      </c>
      <c r="D240" t="s">
        <v>18</v>
      </c>
      <c r="E240" t="s">
        <v>904</v>
      </c>
      <c r="F240" t="str">
        <f>_xlfn.XLOOKUP(Table3[[#This Row],[pdg_zonecode]],Zones!A:A,Zones!B:B)</f>
        <v>SWITZERLAND</v>
      </c>
      <c r="G240" t="s">
        <v>131</v>
      </c>
      <c r="H240" t="s">
        <v>132</v>
      </c>
      <c r="I240" t="s">
        <v>133</v>
      </c>
      <c r="K240" t="s">
        <v>134</v>
      </c>
      <c r="L240">
        <v>0</v>
      </c>
      <c r="N240">
        <v>0</v>
      </c>
      <c r="O240">
        <v>1</v>
      </c>
    </row>
    <row r="241" spans="1:15" x14ac:dyDescent="0.35">
      <c r="A241" t="s">
        <v>135</v>
      </c>
      <c r="B241" t="s">
        <v>136</v>
      </c>
      <c r="C241" t="s">
        <v>17</v>
      </c>
      <c r="D241" t="s">
        <v>18</v>
      </c>
      <c r="E241" t="s">
        <v>922</v>
      </c>
      <c r="F241" t="str">
        <f>_xlfn.XLOOKUP(Table3[[#This Row],[pdg_zonecode]],Zones!A:A,Zones!B:B)</f>
        <v>BELGIUM</v>
      </c>
      <c r="G241" t="s">
        <v>137</v>
      </c>
      <c r="I241" t="s">
        <v>138</v>
      </c>
      <c r="K241" t="s">
        <v>139</v>
      </c>
      <c r="L241">
        <v>0</v>
      </c>
      <c r="N241">
        <v>0</v>
      </c>
      <c r="O241">
        <v>1</v>
      </c>
    </row>
    <row r="242" spans="1:15" x14ac:dyDescent="0.35">
      <c r="A242" t="s">
        <v>140</v>
      </c>
      <c r="B242" t="s">
        <v>141</v>
      </c>
      <c r="C242" t="s">
        <v>27</v>
      </c>
      <c r="D242" t="s">
        <v>28</v>
      </c>
      <c r="E242" t="s">
        <v>910</v>
      </c>
      <c r="F242" t="str">
        <f>_xlfn.XLOOKUP(Table3[[#This Row],[pdg_zonecode]],Zones!A:A,Zones!B:B)</f>
        <v>BEYROUTH</v>
      </c>
      <c r="L242">
        <v>0</v>
      </c>
      <c r="N242">
        <v>0</v>
      </c>
      <c r="O242">
        <v>1</v>
      </c>
    </row>
    <row r="243" spans="1:15" x14ac:dyDescent="0.35">
      <c r="A243" t="s">
        <v>142</v>
      </c>
      <c r="B243" t="s">
        <v>143</v>
      </c>
      <c r="C243" t="s">
        <v>17</v>
      </c>
      <c r="D243" t="s">
        <v>18</v>
      </c>
      <c r="E243" t="s">
        <v>912</v>
      </c>
      <c r="F243" t="str">
        <f>_xlfn.XLOOKUP(Table3[[#This Row],[pdg_zonecode]],Zones!A:A,Zones!B:B)</f>
        <v>SAUDI ARABIA</v>
      </c>
      <c r="G243" t="s">
        <v>144</v>
      </c>
      <c r="H243" t="s">
        <v>145</v>
      </c>
      <c r="I243" t="s">
        <v>146</v>
      </c>
      <c r="L243">
        <v>0</v>
      </c>
      <c r="N243">
        <v>0</v>
      </c>
      <c r="O243">
        <v>1</v>
      </c>
    </row>
    <row r="244" spans="1:15" x14ac:dyDescent="0.35">
      <c r="A244" t="s">
        <v>29</v>
      </c>
      <c r="B244" t="s">
        <v>30</v>
      </c>
      <c r="C244" t="s">
        <v>17</v>
      </c>
      <c r="D244" t="s">
        <v>18</v>
      </c>
      <c r="E244" t="s">
        <v>909</v>
      </c>
      <c r="F244" t="str">
        <f>_xlfn.XLOOKUP(Table3[[#This Row],[pdg_zonecode]],Zones!A:A,Zones!B:B)</f>
        <v>MONACO</v>
      </c>
      <c r="G244" t="s">
        <v>32</v>
      </c>
      <c r="L244">
        <v>0</v>
      </c>
      <c r="N244">
        <v>0</v>
      </c>
      <c r="O244">
        <v>1</v>
      </c>
    </row>
    <row r="245" spans="1:15" x14ac:dyDescent="0.35">
      <c r="A245" t="s">
        <v>147</v>
      </c>
      <c r="B245" t="s">
        <v>148</v>
      </c>
      <c r="C245" t="s">
        <v>27</v>
      </c>
      <c r="D245" t="s">
        <v>28</v>
      </c>
      <c r="E245" t="s">
        <v>902</v>
      </c>
      <c r="F245" t="str">
        <f>_xlfn.XLOOKUP(Table3[[#This Row],[pdg_zonecode]],Zones!A:A,Zones!B:B)</f>
        <v>LEBANON</v>
      </c>
      <c r="G245" t="s">
        <v>149</v>
      </c>
      <c r="I245" t="s">
        <v>150</v>
      </c>
      <c r="L245">
        <v>0</v>
      </c>
      <c r="N245">
        <v>0</v>
      </c>
      <c r="O245">
        <v>1</v>
      </c>
    </row>
    <row r="246" spans="1:15" x14ac:dyDescent="0.35">
      <c r="A246" t="s">
        <v>151</v>
      </c>
      <c r="B246" t="s">
        <v>152</v>
      </c>
      <c r="C246" t="s">
        <v>17</v>
      </c>
      <c r="D246" t="s">
        <v>18</v>
      </c>
      <c r="E246" t="s">
        <v>929</v>
      </c>
      <c r="F246" t="str">
        <f>_xlfn.XLOOKUP(Table3[[#This Row],[pdg_zonecode]],Zones!A:A,Zones!B:B)</f>
        <v>THAILAND</v>
      </c>
      <c r="L246">
        <v>0</v>
      </c>
      <c r="N246">
        <v>0</v>
      </c>
      <c r="O246">
        <v>1</v>
      </c>
    </row>
    <row r="247" spans="1:15" x14ac:dyDescent="0.35">
      <c r="A247" t="s">
        <v>153</v>
      </c>
      <c r="B247" t="s">
        <v>154</v>
      </c>
      <c r="C247" t="s">
        <v>27</v>
      </c>
      <c r="D247" t="s">
        <v>28</v>
      </c>
      <c r="E247" t="s">
        <v>910</v>
      </c>
      <c r="F247" t="str">
        <f>_xlfn.XLOOKUP(Table3[[#This Row],[pdg_zonecode]],Zones!A:A,Zones!B:B)</f>
        <v>BEYROUTH</v>
      </c>
      <c r="L247">
        <v>0</v>
      </c>
      <c r="N247">
        <v>0</v>
      </c>
      <c r="O247">
        <v>1</v>
      </c>
    </row>
    <row r="248" spans="1:15" x14ac:dyDescent="0.35">
      <c r="A248" t="s">
        <v>155</v>
      </c>
      <c r="B248" t="s">
        <v>156</v>
      </c>
      <c r="C248" t="s">
        <v>27</v>
      </c>
      <c r="D248" t="s">
        <v>28</v>
      </c>
      <c r="E248" t="s">
        <v>910</v>
      </c>
      <c r="F248" t="str">
        <f>_xlfn.XLOOKUP(Table3[[#This Row],[pdg_zonecode]],Zones!A:A,Zones!B:B)</f>
        <v>BEYROUTH</v>
      </c>
      <c r="L248">
        <v>0</v>
      </c>
      <c r="N248">
        <v>0</v>
      </c>
      <c r="O248">
        <v>1</v>
      </c>
    </row>
    <row r="249" spans="1:15" x14ac:dyDescent="0.35">
      <c r="A249" t="s">
        <v>157</v>
      </c>
      <c r="B249" t="s">
        <v>158</v>
      </c>
      <c r="C249" t="s">
        <v>17</v>
      </c>
      <c r="D249" t="s">
        <v>18</v>
      </c>
      <c r="E249" t="s">
        <v>159</v>
      </c>
      <c r="F249" t="str">
        <f>_xlfn.XLOOKUP(Table3[[#This Row],[pdg_zonecode]],Zones!A:A,Zones!B:B)</f>
        <v>NEW YORK</v>
      </c>
      <c r="G249" t="s">
        <v>160</v>
      </c>
      <c r="I249" t="s">
        <v>161</v>
      </c>
      <c r="K249" t="s">
        <v>162</v>
      </c>
      <c r="L249">
        <v>0</v>
      </c>
      <c r="N249">
        <v>0</v>
      </c>
      <c r="O249">
        <v>1</v>
      </c>
    </row>
    <row r="250" spans="1:15" x14ac:dyDescent="0.35">
      <c r="A250" t="s">
        <v>163</v>
      </c>
      <c r="B250" t="s">
        <v>164</v>
      </c>
      <c r="C250" t="s">
        <v>27</v>
      </c>
      <c r="D250" t="s">
        <v>28</v>
      </c>
      <c r="E250" t="s">
        <v>910</v>
      </c>
      <c r="F250" t="str">
        <f>_xlfn.XLOOKUP(Table3[[#This Row],[pdg_zonecode]],Zones!A:A,Zones!B:B)</f>
        <v>BEYROUTH</v>
      </c>
      <c r="G250" t="s">
        <v>165</v>
      </c>
      <c r="H250" t="s">
        <v>166</v>
      </c>
      <c r="I250" t="s">
        <v>167</v>
      </c>
      <c r="L250">
        <v>0</v>
      </c>
      <c r="N250">
        <v>0</v>
      </c>
      <c r="O250">
        <v>1</v>
      </c>
    </row>
    <row r="251" spans="1:15" x14ac:dyDescent="0.35">
      <c r="A251" t="s">
        <v>168</v>
      </c>
      <c r="B251" t="s">
        <v>169</v>
      </c>
      <c r="C251" t="s">
        <v>17</v>
      </c>
      <c r="D251" t="s">
        <v>18</v>
      </c>
      <c r="E251" t="s">
        <v>916</v>
      </c>
      <c r="F251" t="str">
        <f>_xlfn.XLOOKUP(Table3[[#This Row],[pdg_zonecode]],Zones!A:A,Zones!B:B)</f>
        <v>GENEVE</v>
      </c>
      <c r="G251" t="s">
        <v>170</v>
      </c>
      <c r="H251" t="s">
        <v>132</v>
      </c>
      <c r="I251" t="s">
        <v>171</v>
      </c>
      <c r="K251" t="s">
        <v>134</v>
      </c>
      <c r="L251">
        <v>0</v>
      </c>
      <c r="N251">
        <v>0</v>
      </c>
      <c r="O251">
        <v>1</v>
      </c>
    </row>
    <row r="252" spans="1:15" x14ac:dyDescent="0.35">
      <c r="A252" t="s">
        <v>172</v>
      </c>
      <c r="B252" t="s">
        <v>173</v>
      </c>
      <c r="C252" t="s">
        <v>27</v>
      </c>
      <c r="D252" t="s">
        <v>28</v>
      </c>
      <c r="E252" t="s">
        <v>910</v>
      </c>
      <c r="F252" t="str">
        <f>_xlfn.XLOOKUP(Table3[[#This Row],[pdg_zonecode]],Zones!A:A,Zones!B:B)</f>
        <v>BEYROUTH</v>
      </c>
      <c r="I252" t="s">
        <v>174</v>
      </c>
      <c r="L252">
        <v>0</v>
      </c>
      <c r="N252">
        <v>0</v>
      </c>
      <c r="O252">
        <v>1</v>
      </c>
    </row>
    <row r="253" spans="1:15" x14ac:dyDescent="0.35">
      <c r="A253" t="s">
        <v>175</v>
      </c>
      <c r="B253" t="s">
        <v>176</v>
      </c>
      <c r="C253" t="s">
        <v>27</v>
      </c>
      <c r="D253" t="s">
        <v>28</v>
      </c>
      <c r="E253" t="s">
        <v>902</v>
      </c>
      <c r="F253" t="str">
        <f>_xlfn.XLOOKUP(Table3[[#This Row],[pdg_zonecode]],Zones!A:A,Zones!B:B)</f>
        <v>LEBANON</v>
      </c>
      <c r="L253">
        <v>0</v>
      </c>
      <c r="N253">
        <v>0</v>
      </c>
      <c r="O253">
        <v>1</v>
      </c>
    </row>
    <row r="254" spans="1:15" x14ac:dyDescent="0.35">
      <c r="A254" t="s">
        <v>177</v>
      </c>
      <c r="B254" t="s">
        <v>178</v>
      </c>
      <c r="C254" t="s">
        <v>17</v>
      </c>
      <c r="D254" t="s">
        <v>18</v>
      </c>
      <c r="E254" t="s">
        <v>920</v>
      </c>
      <c r="F254" t="str">
        <f>_xlfn.XLOOKUP(Table3[[#This Row],[pdg_zonecode]],Zones!A:A,Zones!B:B)</f>
        <v>GERMANY</v>
      </c>
      <c r="G254" t="s">
        <v>179</v>
      </c>
      <c r="L254">
        <v>0</v>
      </c>
      <c r="N254">
        <v>0</v>
      </c>
      <c r="O254">
        <v>1</v>
      </c>
    </row>
    <row r="255" spans="1:15" x14ac:dyDescent="0.35">
      <c r="A255" t="s">
        <v>33</v>
      </c>
      <c r="B255" t="s">
        <v>34</v>
      </c>
      <c r="C255" t="s">
        <v>27</v>
      </c>
      <c r="D255" t="s">
        <v>28</v>
      </c>
      <c r="E255" t="s">
        <v>910</v>
      </c>
      <c r="F255" t="str">
        <f>_xlfn.XLOOKUP(Table3[[#This Row],[pdg_zonecode]],Zones!A:A,Zones!B:B)</f>
        <v>BEYROUTH</v>
      </c>
      <c r="G255" t="s">
        <v>36</v>
      </c>
      <c r="L255">
        <v>0</v>
      </c>
      <c r="N255">
        <v>0</v>
      </c>
      <c r="O255">
        <v>1</v>
      </c>
    </row>
    <row r="256" spans="1:15" x14ac:dyDescent="0.35">
      <c r="A256" t="s">
        <v>180</v>
      </c>
      <c r="B256" t="s">
        <v>181</v>
      </c>
      <c r="C256" t="s">
        <v>17</v>
      </c>
      <c r="D256" t="s">
        <v>18</v>
      </c>
      <c r="E256" t="s">
        <v>159</v>
      </c>
      <c r="F256" t="str">
        <f>_xlfn.XLOOKUP(Table3[[#This Row],[pdg_zonecode]],Zones!A:A,Zones!B:B)</f>
        <v>NEW YORK</v>
      </c>
      <c r="G256" t="s">
        <v>182</v>
      </c>
      <c r="H256" t="s">
        <v>183</v>
      </c>
      <c r="I256" t="s">
        <v>184</v>
      </c>
      <c r="K256" t="s">
        <v>185</v>
      </c>
      <c r="L256">
        <v>0</v>
      </c>
      <c r="N256">
        <v>0</v>
      </c>
      <c r="O256">
        <v>1</v>
      </c>
    </row>
    <row r="257" spans="1:15" x14ac:dyDescent="0.35">
      <c r="A257" t="s">
        <v>186</v>
      </c>
      <c r="B257" t="s">
        <v>187</v>
      </c>
      <c r="C257" t="s">
        <v>17</v>
      </c>
      <c r="D257" t="s">
        <v>18</v>
      </c>
      <c r="E257" t="s">
        <v>86</v>
      </c>
      <c r="F257" t="str">
        <f>_xlfn.XLOOKUP(Table3[[#This Row],[pdg_zonecode]],Zones!A:A,Zones!B:B)</f>
        <v>ITALY</v>
      </c>
      <c r="G257" t="s">
        <v>188</v>
      </c>
      <c r="I257" t="s">
        <v>189</v>
      </c>
      <c r="K257" t="s">
        <v>190</v>
      </c>
      <c r="L257">
        <v>0</v>
      </c>
      <c r="N257">
        <v>0</v>
      </c>
      <c r="O257">
        <v>1</v>
      </c>
    </row>
    <row r="258" spans="1:15" x14ac:dyDescent="0.35">
      <c r="A258" t="s">
        <v>191</v>
      </c>
      <c r="B258" t="s">
        <v>192</v>
      </c>
      <c r="C258" t="s">
        <v>17</v>
      </c>
      <c r="D258" t="s">
        <v>18</v>
      </c>
      <c r="E258" t="s">
        <v>86</v>
      </c>
      <c r="F258" t="str">
        <f>_xlfn.XLOOKUP(Table3[[#This Row],[pdg_zonecode]],Zones!A:A,Zones!B:B)</f>
        <v>ITALY</v>
      </c>
      <c r="L258">
        <v>0</v>
      </c>
      <c r="N258">
        <v>0</v>
      </c>
      <c r="O258">
        <v>1</v>
      </c>
    </row>
    <row r="259" spans="1:15" x14ac:dyDescent="0.35">
      <c r="A259" t="s">
        <v>193</v>
      </c>
      <c r="B259" t="s">
        <v>194</v>
      </c>
      <c r="C259" t="s">
        <v>27</v>
      </c>
      <c r="D259" t="s">
        <v>28</v>
      </c>
      <c r="E259" t="s">
        <v>910</v>
      </c>
      <c r="F259" t="str">
        <f>_xlfn.XLOOKUP(Table3[[#This Row],[pdg_zonecode]],Zones!A:A,Zones!B:B)</f>
        <v>BEYROUTH</v>
      </c>
      <c r="I259" t="s">
        <v>195</v>
      </c>
      <c r="L259">
        <v>0</v>
      </c>
      <c r="N259">
        <v>0</v>
      </c>
      <c r="O259">
        <v>1</v>
      </c>
    </row>
    <row r="260" spans="1:15" x14ac:dyDescent="0.35">
      <c r="A260" t="s">
        <v>196</v>
      </c>
      <c r="B260" t="s">
        <v>197</v>
      </c>
      <c r="C260" t="s">
        <v>17</v>
      </c>
      <c r="D260" t="s">
        <v>18</v>
      </c>
      <c r="E260" t="s">
        <v>904</v>
      </c>
      <c r="F260" t="str">
        <f>_xlfn.XLOOKUP(Table3[[#This Row],[pdg_zonecode]],Zones!A:A,Zones!B:B)</f>
        <v>SWITZERLAND</v>
      </c>
      <c r="G260" t="s">
        <v>198</v>
      </c>
      <c r="H260" t="s">
        <v>199</v>
      </c>
      <c r="I260" t="s">
        <v>200</v>
      </c>
      <c r="K260" t="s">
        <v>201</v>
      </c>
      <c r="L260">
        <v>0</v>
      </c>
      <c r="N260">
        <v>0</v>
      </c>
      <c r="O260">
        <v>1</v>
      </c>
    </row>
    <row r="261" spans="1:15" x14ac:dyDescent="0.35">
      <c r="A261" t="s">
        <v>202</v>
      </c>
      <c r="B261" t="s">
        <v>203</v>
      </c>
      <c r="C261" t="s">
        <v>17</v>
      </c>
      <c r="D261" t="s">
        <v>18</v>
      </c>
      <c r="E261" t="s">
        <v>64</v>
      </c>
      <c r="F261" t="str">
        <f>_xlfn.XLOOKUP(Table3[[#This Row],[pdg_zonecode]],Zones!A:A,Zones!B:B)</f>
        <v>U.S.A.</v>
      </c>
      <c r="G261" t="s">
        <v>204</v>
      </c>
      <c r="H261" t="s">
        <v>205</v>
      </c>
      <c r="I261" t="s">
        <v>206</v>
      </c>
      <c r="K261" t="s">
        <v>207</v>
      </c>
      <c r="L261">
        <v>0</v>
      </c>
      <c r="N261">
        <v>0</v>
      </c>
      <c r="O261">
        <v>1</v>
      </c>
    </row>
    <row r="262" spans="1:15" x14ac:dyDescent="0.35">
      <c r="A262" t="s">
        <v>208</v>
      </c>
      <c r="B262" t="s">
        <v>209</v>
      </c>
      <c r="C262" t="s">
        <v>17</v>
      </c>
      <c r="D262" t="s">
        <v>18</v>
      </c>
      <c r="E262" t="s">
        <v>916</v>
      </c>
      <c r="F262" t="str">
        <f>_xlfn.XLOOKUP(Table3[[#This Row],[pdg_zonecode]],Zones!A:A,Zones!B:B)</f>
        <v>GENEVE</v>
      </c>
      <c r="L262">
        <v>0</v>
      </c>
      <c r="N262">
        <v>0</v>
      </c>
      <c r="O262">
        <v>1</v>
      </c>
    </row>
    <row r="263" spans="1:15" x14ac:dyDescent="0.35">
      <c r="A263" t="s">
        <v>210</v>
      </c>
      <c r="B263" t="s">
        <v>211</v>
      </c>
      <c r="C263" t="s">
        <v>27</v>
      </c>
      <c r="D263" t="s">
        <v>28</v>
      </c>
      <c r="E263" t="s">
        <v>910</v>
      </c>
      <c r="F263" t="str">
        <f>_xlfn.XLOOKUP(Table3[[#This Row],[pdg_zonecode]],Zones!A:A,Zones!B:B)</f>
        <v>BEYROUTH</v>
      </c>
      <c r="G263" t="s">
        <v>212</v>
      </c>
      <c r="H263" t="s">
        <v>213</v>
      </c>
      <c r="I263" t="s">
        <v>214</v>
      </c>
      <c r="L263">
        <v>0</v>
      </c>
      <c r="N263">
        <v>0</v>
      </c>
      <c r="O263">
        <v>1</v>
      </c>
    </row>
    <row r="264" spans="1:15" x14ac:dyDescent="0.35">
      <c r="A264" t="s">
        <v>215</v>
      </c>
      <c r="B264" t="s">
        <v>216</v>
      </c>
      <c r="C264" t="s">
        <v>27</v>
      </c>
      <c r="D264" t="s">
        <v>28</v>
      </c>
      <c r="E264" t="s">
        <v>910</v>
      </c>
      <c r="F264" t="str">
        <f>_xlfn.XLOOKUP(Table3[[#This Row],[pdg_zonecode]],Zones!A:A,Zones!B:B)</f>
        <v>BEYROUTH</v>
      </c>
      <c r="G264" t="s">
        <v>34</v>
      </c>
      <c r="L264">
        <v>0</v>
      </c>
      <c r="N264">
        <v>0</v>
      </c>
      <c r="O264">
        <v>1</v>
      </c>
    </row>
    <row r="265" spans="1:15" x14ac:dyDescent="0.35">
      <c r="A265" t="s">
        <v>217</v>
      </c>
      <c r="B265" t="s">
        <v>218</v>
      </c>
      <c r="C265" t="s">
        <v>17</v>
      </c>
      <c r="D265" t="s">
        <v>18</v>
      </c>
      <c r="E265" t="s">
        <v>86</v>
      </c>
      <c r="F265" t="str">
        <f>_xlfn.XLOOKUP(Table3[[#This Row],[pdg_zonecode]],Zones!A:A,Zones!B:B)</f>
        <v>ITALY</v>
      </c>
      <c r="G265" t="s">
        <v>219</v>
      </c>
      <c r="I265" t="s">
        <v>220</v>
      </c>
      <c r="L265">
        <v>0</v>
      </c>
      <c r="N265">
        <v>0</v>
      </c>
      <c r="O265">
        <v>1</v>
      </c>
    </row>
    <row r="266" spans="1:15" x14ac:dyDescent="0.35">
      <c r="A266" t="s">
        <v>37</v>
      </c>
      <c r="B266" t="s">
        <v>38</v>
      </c>
      <c r="C266" t="s">
        <v>17</v>
      </c>
      <c r="D266" t="s">
        <v>18</v>
      </c>
      <c r="E266" t="s">
        <v>916</v>
      </c>
      <c r="F266" t="str">
        <f>_xlfn.XLOOKUP(Table3[[#This Row],[pdg_zonecode]],Zones!A:A,Zones!B:B)</f>
        <v>GENEVE</v>
      </c>
      <c r="L266">
        <v>0</v>
      </c>
      <c r="N266">
        <v>0</v>
      </c>
      <c r="O266">
        <v>1</v>
      </c>
    </row>
    <row r="267" spans="1:15" x14ac:dyDescent="0.35">
      <c r="A267" t="s">
        <v>221</v>
      </c>
      <c r="B267" t="s">
        <v>222</v>
      </c>
      <c r="C267" t="s">
        <v>27</v>
      </c>
      <c r="D267" t="s">
        <v>28</v>
      </c>
      <c r="E267" t="s">
        <v>910</v>
      </c>
      <c r="F267" t="str">
        <f>_xlfn.XLOOKUP(Table3[[#This Row],[pdg_zonecode]],Zones!A:A,Zones!B:B)</f>
        <v>BEYROUTH</v>
      </c>
      <c r="G267" t="s">
        <v>223</v>
      </c>
      <c r="I267" t="s">
        <v>224</v>
      </c>
      <c r="J267" t="s">
        <v>225</v>
      </c>
      <c r="L267">
        <v>0</v>
      </c>
      <c r="N267">
        <v>0</v>
      </c>
      <c r="O267">
        <v>1</v>
      </c>
    </row>
    <row r="268" spans="1:15" x14ac:dyDescent="0.35">
      <c r="A268" t="s">
        <v>226</v>
      </c>
      <c r="B268" t="s">
        <v>227</v>
      </c>
      <c r="C268" t="s">
        <v>17</v>
      </c>
      <c r="D268" t="s">
        <v>18</v>
      </c>
      <c r="E268" t="s">
        <v>98</v>
      </c>
      <c r="F268" t="str">
        <f>_xlfn.XLOOKUP(Table3[[#This Row],[pdg_zonecode]],Zones!A:A,Zones!B:B)</f>
        <v>ABU DHABI</v>
      </c>
      <c r="L268">
        <v>0</v>
      </c>
      <c r="N268">
        <v>0</v>
      </c>
      <c r="O268">
        <v>1</v>
      </c>
    </row>
    <row r="269" spans="1:15" x14ac:dyDescent="0.35">
      <c r="A269" t="s">
        <v>228</v>
      </c>
      <c r="B269" t="s">
        <v>229</v>
      </c>
      <c r="C269" t="s">
        <v>27</v>
      </c>
      <c r="D269" t="s">
        <v>28</v>
      </c>
      <c r="E269" t="s">
        <v>910</v>
      </c>
      <c r="F269" t="str">
        <f>_xlfn.XLOOKUP(Table3[[#This Row],[pdg_zonecode]],Zones!A:A,Zones!B:B)</f>
        <v>BEYROUTH</v>
      </c>
      <c r="G269" t="s">
        <v>230</v>
      </c>
      <c r="I269" t="s">
        <v>231</v>
      </c>
      <c r="K269" t="s">
        <v>232</v>
      </c>
      <c r="L269">
        <v>0</v>
      </c>
      <c r="N269">
        <v>0</v>
      </c>
      <c r="O269">
        <v>1</v>
      </c>
    </row>
    <row r="270" spans="1:15" x14ac:dyDescent="0.35">
      <c r="A270" t="s">
        <v>233</v>
      </c>
      <c r="B270" t="s">
        <v>234</v>
      </c>
      <c r="C270" t="s">
        <v>27</v>
      </c>
      <c r="D270" t="s">
        <v>28</v>
      </c>
      <c r="E270" t="s">
        <v>910</v>
      </c>
      <c r="F270" t="str">
        <f>_xlfn.XLOOKUP(Table3[[#This Row],[pdg_zonecode]],Zones!A:A,Zones!B:B)</f>
        <v>BEYROUTH</v>
      </c>
      <c r="G270" t="s">
        <v>212</v>
      </c>
      <c r="I270" t="s">
        <v>235</v>
      </c>
      <c r="L270">
        <v>0</v>
      </c>
      <c r="N270">
        <v>0</v>
      </c>
      <c r="O270">
        <v>1</v>
      </c>
    </row>
    <row r="271" spans="1:15" x14ac:dyDescent="0.35">
      <c r="A271" t="s">
        <v>236</v>
      </c>
      <c r="B271" t="s">
        <v>237</v>
      </c>
      <c r="C271" t="s">
        <v>17</v>
      </c>
      <c r="D271" t="s">
        <v>18</v>
      </c>
      <c r="E271" t="s">
        <v>904</v>
      </c>
      <c r="F271" t="str">
        <f>_xlfn.XLOOKUP(Table3[[#This Row],[pdg_zonecode]],Zones!A:A,Zones!B:B)</f>
        <v>SWITZERLAND</v>
      </c>
      <c r="L271">
        <v>0</v>
      </c>
      <c r="N271">
        <v>0</v>
      </c>
      <c r="O271">
        <v>1</v>
      </c>
    </row>
    <row r="272" spans="1:15" x14ac:dyDescent="0.35">
      <c r="A272" t="s">
        <v>238</v>
      </c>
      <c r="B272" t="s">
        <v>239</v>
      </c>
      <c r="C272" t="s">
        <v>17</v>
      </c>
      <c r="D272" t="s">
        <v>18</v>
      </c>
      <c r="E272" t="s">
        <v>922</v>
      </c>
      <c r="F272" t="str">
        <f>_xlfn.XLOOKUP(Table3[[#This Row],[pdg_zonecode]],Zones!A:A,Zones!B:B)</f>
        <v>BELGIUM</v>
      </c>
      <c r="L272">
        <v>0</v>
      </c>
      <c r="N272">
        <v>0</v>
      </c>
      <c r="O272">
        <v>1</v>
      </c>
    </row>
    <row r="273" spans="1:15" x14ac:dyDescent="0.35">
      <c r="A273" t="s">
        <v>240</v>
      </c>
      <c r="B273" t="s">
        <v>241</v>
      </c>
      <c r="C273" t="s">
        <v>27</v>
      </c>
      <c r="D273" t="s">
        <v>28</v>
      </c>
      <c r="E273" t="s">
        <v>910</v>
      </c>
      <c r="F273" t="str">
        <f>_xlfn.XLOOKUP(Table3[[#This Row],[pdg_zonecode]],Zones!A:A,Zones!B:B)</f>
        <v>BEYROUTH</v>
      </c>
      <c r="I273" t="s">
        <v>242</v>
      </c>
      <c r="L273">
        <v>0</v>
      </c>
      <c r="N273">
        <v>0</v>
      </c>
      <c r="O273">
        <v>1</v>
      </c>
    </row>
    <row r="274" spans="1:15" x14ac:dyDescent="0.35">
      <c r="A274" t="s">
        <v>243</v>
      </c>
      <c r="B274" t="s">
        <v>244</v>
      </c>
      <c r="C274" t="s">
        <v>17</v>
      </c>
      <c r="D274" t="s">
        <v>18</v>
      </c>
      <c r="E274" t="s">
        <v>907</v>
      </c>
      <c r="F274" t="str">
        <f>_xlfn.XLOOKUP(Table3[[#This Row],[pdg_zonecode]],Zones!A:A,Zones!B:B)</f>
        <v>FRANCE</v>
      </c>
      <c r="G274" t="s">
        <v>245</v>
      </c>
      <c r="I274" t="s">
        <v>246</v>
      </c>
      <c r="L274">
        <v>0</v>
      </c>
      <c r="N274">
        <v>0</v>
      </c>
      <c r="O274">
        <v>1</v>
      </c>
    </row>
    <row r="275" spans="1:15" x14ac:dyDescent="0.35">
      <c r="A275" t="s">
        <v>247</v>
      </c>
      <c r="B275" t="s">
        <v>248</v>
      </c>
      <c r="C275" t="s">
        <v>17</v>
      </c>
      <c r="D275" t="s">
        <v>18</v>
      </c>
      <c r="E275" t="s">
        <v>86</v>
      </c>
      <c r="F275" t="str">
        <f>_xlfn.XLOOKUP(Table3[[#This Row],[pdg_zonecode]],Zones!A:A,Zones!B:B)</f>
        <v>ITALY</v>
      </c>
      <c r="L275">
        <v>0</v>
      </c>
      <c r="N275">
        <v>0</v>
      </c>
      <c r="O275">
        <v>1</v>
      </c>
    </row>
    <row r="276" spans="1:15" x14ac:dyDescent="0.35">
      <c r="A276" t="s">
        <v>249</v>
      </c>
      <c r="B276" t="s">
        <v>250</v>
      </c>
      <c r="C276" t="s">
        <v>27</v>
      </c>
      <c r="D276" t="s">
        <v>28</v>
      </c>
      <c r="E276" t="s">
        <v>902</v>
      </c>
      <c r="F276" t="str">
        <f>_xlfn.XLOOKUP(Table3[[#This Row],[pdg_zonecode]],Zones!A:A,Zones!B:B)</f>
        <v>LEBANON</v>
      </c>
      <c r="L276">
        <v>0</v>
      </c>
      <c r="N276">
        <v>0</v>
      </c>
      <c r="O276">
        <v>1</v>
      </c>
    </row>
    <row r="277" spans="1:15" x14ac:dyDescent="0.35">
      <c r="A277" t="s">
        <v>40</v>
      </c>
      <c r="B277" t="s">
        <v>41</v>
      </c>
      <c r="C277" t="s">
        <v>27</v>
      </c>
      <c r="D277" t="s">
        <v>28</v>
      </c>
      <c r="E277" t="s">
        <v>910</v>
      </c>
      <c r="F277" t="str">
        <f>_xlfn.XLOOKUP(Table3[[#This Row],[pdg_zonecode]],Zones!A:A,Zones!B:B)</f>
        <v>BEYROUTH</v>
      </c>
      <c r="G277" t="s">
        <v>42</v>
      </c>
      <c r="L277">
        <v>0</v>
      </c>
      <c r="N277">
        <v>0</v>
      </c>
      <c r="O277">
        <v>1</v>
      </c>
    </row>
    <row r="278" spans="1:15" x14ac:dyDescent="0.35">
      <c r="A278" t="s">
        <v>251</v>
      </c>
      <c r="B278" t="s">
        <v>252</v>
      </c>
      <c r="C278" t="s">
        <v>27</v>
      </c>
      <c r="D278" t="s">
        <v>28</v>
      </c>
      <c r="E278" t="s">
        <v>910</v>
      </c>
      <c r="F278" t="str">
        <f>_xlfn.XLOOKUP(Table3[[#This Row],[pdg_zonecode]],Zones!A:A,Zones!B:B)</f>
        <v>BEYROUTH</v>
      </c>
      <c r="G278" t="s">
        <v>253</v>
      </c>
      <c r="H278" t="s">
        <v>254</v>
      </c>
      <c r="I278" t="s">
        <v>255</v>
      </c>
      <c r="J278" t="s">
        <v>256</v>
      </c>
      <c r="L278">
        <v>0</v>
      </c>
      <c r="N278">
        <v>0</v>
      </c>
      <c r="O278">
        <v>1</v>
      </c>
    </row>
    <row r="279" spans="1:15" x14ac:dyDescent="0.35">
      <c r="A279" t="s">
        <v>257</v>
      </c>
      <c r="B279" t="s">
        <v>258</v>
      </c>
      <c r="C279" t="s">
        <v>23</v>
      </c>
      <c r="D279" t="s">
        <v>24</v>
      </c>
      <c r="E279" t="s">
        <v>910</v>
      </c>
      <c r="F279" t="str">
        <f>_xlfn.XLOOKUP(Table3[[#This Row],[pdg_zonecode]],Zones!A:A,Zones!B:B)</f>
        <v>BEYROUTH</v>
      </c>
      <c r="L279">
        <v>0</v>
      </c>
      <c r="N279">
        <v>0</v>
      </c>
      <c r="O279">
        <v>1</v>
      </c>
    </row>
    <row r="280" spans="1:15" x14ac:dyDescent="0.35">
      <c r="A280" t="s">
        <v>259</v>
      </c>
      <c r="B280" t="s">
        <v>260</v>
      </c>
      <c r="C280" t="s">
        <v>27</v>
      </c>
      <c r="D280" t="s">
        <v>28</v>
      </c>
      <c r="E280" t="s">
        <v>910</v>
      </c>
      <c r="F280" t="str">
        <f>_xlfn.XLOOKUP(Table3[[#This Row],[pdg_zonecode]],Zones!A:A,Zones!B:B)</f>
        <v>BEYROUTH</v>
      </c>
      <c r="L280">
        <v>0</v>
      </c>
      <c r="N280">
        <v>0</v>
      </c>
      <c r="O280">
        <v>1</v>
      </c>
    </row>
    <row r="281" spans="1:15" x14ac:dyDescent="0.35">
      <c r="A281" t="s">
        <v>261</v>
      </c>
      <c r="B281" t="s">
        <v>262</v>
      </c>
      <c r="C281" t="s">
        <v>27</v>
      </c>
      <c r="D281" t="s">
        <v>28</v>
      </c>
      <c r="E281" t="s">
        <v>902</v>
      </c>
      <c r="F281" t="str">
        <f>_xlfn.XLOOKUP(Table3[[#This Row],[pdg_zonecode]],Zones!A:A,Zones!B:B)</f>
        <v>LEBANON</v>
      </c>
      <c r="L281">
        <v>0</v>
      </c>
      <c r="N281">
        <v>0</v>
      </c>
      <c r="O281">
        <v>1</v>
      </c>
    </row>
    <row r="282" spans="1:15" x14ac:dyDescent="0.35">
      <c r="A282" t="s">
        <v>263</v>
      </c>
      <c r="B282" t="s">
        <v>264</v>
      </c>
      <c r="C282" t="s">
        <v>17</v>
      </c>
      <c r="D282" t="s">
        <v>18</v>
      </c>
      <c r="E282" t="s">
        <v>265</v>
      </c>
      <c r="F282" t="str">
        <f>_xlfn.XLOOKUP(Table3[[#This Row],[pdg_zonecode]],Zones!A:A,Zones!B:B)</f>
        <v>DUBAI</v>
      </c>
      <c r="G282" t="s">
        <v>266</v>
      </c>
      <c r="I282" t="s">
        <v>267</v>
      </c>
      <c r="K282" t="s">
        <v>268</v>
      </c>
      <c r="L282">
        <v>0</v>
      </c>
      <c r="N282">
        <v>0</v>
      </c>
      <c r="O282">
        <v>1</v>
      </c>
    </row>
    <row r="283" spans="1:15" x14ac:dyDescent="0.35">
      <c r="A283" t="s">
        <v>269</v>
      </c>
      <c r="B283" t="s">
        <v>270</v>
      </c>
      <c r="C283" t="s">
        <v>27</v>
      </c>
      <c r="D283" t="s">
        <v>28</v>
      </c>
      <c r="E283" t="s">
        <v>910</v>
      </c>
      <c r="F283" t="str">
        <f>_xlfn.XLOOKUP(Table3[[#This Row],[pdg_zonecode]],Zones!A:A,Zones!B:B)</f>
        <v>BEYROUTH</v>
      </c>
      <c r="I283" t="s">
        <v>271</v>
      </c>
      <c r="J283" t="s">
        <v>272</v>
      </c>
      <c r="L283">
        <v>0</v>
      </c>
      <c r="N283">
        <v>0</v>
      </c>
      <c r="O283">
        <v>1</v>
      </c>
    </row>
    <row r="284" spans="1:15" x14ac:dyDescent="0.35">
      <c r="A284" t="s">
        <v>273</v>
      </c>
      <c r="B284" t="s">
        <v>274</v>
      </c>
      <c r="C284" t="s">
        <v>27</v>
      </c>
      <c r="D284" t="s">
        <v>28</v>
      </c>
      <c r="E284" t="s">
        <v>902</v>
      </c>
      <c r="F284" t="str">
        <f>_xlfn.XLOOKUP(Table3[[#This Row],[pdg_zonecode]],Zones!A:A,Zones!B:B)</f>
        <v>LEBANON</v>
      </c>
      <c r="L284">
        <v>0</v>
      </c>
      <c r="N284">
        <v>0</v>
      </c>
      <c r="O284">
        <v>1</v>
      </c>
    </row>
    <row r="285" spans="1:15" x14ac:dyDescent="0.35">
      <c r="A285" t="s">
        <v>275</v>
      </c>
      <c r="B285" t="s">
        <v>276</v>
      </c>
      <c r="C285" t="s">
        <v>27</v>
      </c>
      <c r="D285" t="s">
        <v>28</v>
      </c>
      <c r="E285" t="s">
        <v>910</v>
      </c>
      <c r="F285" t="str">
        <f>_xlfn.XLOOKUP(Table3[[#This Row],[pdg_zonecode]],Zones!A:A,Zones!B:B)</f>
        <v>BEYROUTH</v>
      </c>
      <c r="G285" t="s">
        <v>277</v>
      </c>
      <c r="I285" t="s">
        <v>278</v>
      </c>
      <c r="K285" t="s">
        <v>279</v>
      </c>
      <c r="L285">
        <v>0</v>
      </c>
      <c r="N285">
        <v>0</v>
      </c>
      <c r="O285">
        <v>1</v>
      </c>
    </row>
    <row r="286" spans="1:15" x14ac:dyDescent="0.35">
      <c r="A286" t="s">
        <v>280</v>
      </c>
      <c r="B286" t="s">
        <v>281</v>
      </c>
      <c r="C286" t="s">
        <v>17</v>
      </c>
      <c r="D286" t="s">
        <v>18</v>
      </c>
      <c r="E286" t="s">
        <v>904</v>
      </c>
      <c r="F286" t="str">
        <f>_xlfn.XLOOKUP(Table3[[#This Row],[pdg_zonecode]],Zones!A:A,Zones!B:B)</f>
        <v>SWITZERLAND</v>
      </c>
      <c r="G286" t="s">
        <v>282</v>
      </c>
      <c r="H286" t="s">
        <v>283</v>
      </c>
      <c r="I286" t="s">
        <v>284</v>
      </c>
      <c r="K286" t="s">
        <v>285</v>
      </c>
      <c r="L286">
        <v>0</v>
      </c>
      <c r="N286">
        <v>0</v>
      </c>
      <c r="O286">
        <v>1</v>
      </c>
    </row>
    <row r="287" spans="1:15" x14ac:dyDescent="0.35">
      <c r="A287" t="s">
        <v>286</v>
      </c>
      <c r="B287" t="s">
        <v>287</v>
      </c>
      <c r="C287" t="s">
        <v>27</v>
      </c>
      <c r="D287" t="s">
        <v>28</v>
      </c>
      <c r="E287" t="s">
        <v>902</v>
      </c>
      <c r="F287" t="str">
        <f>_xlfn.XLOOKUP(Table3[[#This Row],[pdg_zonecode]],Zones!A:A,Zones!B:B)</f>
        <v>LEBANON</v>
      </c>
      <c r="H287" t="s">
        <v>288</v>
      </c>
      <c r="I287" t="s">
        <v>289</v>
      </c>
      <c r="L287">
        <v>0</v>
      </c>
      <c r="N287">
        <v>0</v>
      </c>
      <c r="O287">
        <v>1</v>
      </c>
    </row>
    <row r="288" spans="1:15" x14ac:dyDescent="0.35">
      <c r="A288" t="s">
        <v>43</v>
      </c>
      <c r="B288" t="s">
        <v>44</v>
      </c>
      <c r="C288" t="s">
        <v>17</v>
      </c>
      <c r="D288" t="s">
        <v>18</v>
      </c>
      <c r="E288" t="s">
        <v>918</v>
      </c>
      <c r="F288" t="str">
        <f>_xlfn.XLOOKUP(Table3[[#This Row],[pdg_zonecode]],Zones!A:A,Zones!B:B)</f>
        <v>PARIS</v>
      </c>
      <c r="G288" t="s">
        <v>46</v>
      </c>
      <c r="I288" t="s">
        <v>47</v>
      </c>
      <c r="L288">
        <v>0</v>
      </c>
      <c r="N288">
        <v>0</v>
      </c>
      <c r="O288">
        <v>1</v>
      </c>
    </row>
    <row r="289" spans="1:15" x14ac:dyDescent="0.35">
      <c r="A289" t="s">
        <v>290</v>
      </c>
      <c r="B289" t="s">
        <v>291</v>
      </c>
      <c r="C289" t="s">
        <v>27</v>
      </c>
      <c r="D289" t="s">
        <v>28</v>
      </c>
      <c r="E289" t="s">
        <v>902</v>
      </c>
      <c r="F289" t="str">
        <f>_xlfn.XLOOKUP(Table3[[#This Row],[pdg_zonecode]],Zones!A:A,Zones!B:B)</f>
        <v>LEBANON</v>
      </c>
      <c r="L289">
        <v>0</v>
      </c>
      <c r="N289">
        <v>0</v>
      </c>
      <c r="O289">
        <v>1</v>
      </c>
    </row>
    <row r="290" spans="1:15" x14ac:dyDescent="0.35">
      <c r="A290" t="s">
        <v>292</v>
      </c>
      <c r="B290" t="s">
        <v>293</v>
      </c>
      <c r="C290" t="s">
        <v>17</v>
      </c>
      <c r="D290" t="s">
        <v>18</v>
      </c>
      <c r="E290" t="s">
        <v>920</v>
      </c>
      <c r="F290" t="str">
        <f>_xlfn.XLOOKUP(Table3[[#This Row],[pdg_zonecode]],Zones!A:A,Zones!B:B)</f>
        <v>GERMANY</v>
      </c>
      <c r="I290" t="s">
        <v>294</v>
      </c>
      <c r="J290" t="s">
        <v>295</v>
      </c>
      <c r="K290" t="s">
        <v>296</v>
      </c>
      <c r="L290">
        <v>0</v>
      </c>
      <c r="N290">
        <v>0</v>
      </c>
      <c r="O290">
        <v>1</v>
      </c>
    </row>
    <row r="291" spans="1:15" x14ac:dyDescent="0.35">
      <c r="A291" t="s">
        <v>297</v>
      </c>
      <c r="B291" t="s">
        <v>298</v>
      </c>
      <c r="C291" t="s">
        <v>27</v>
      </c>
      <c r="D291" t="s">
        <v>28</v>
      </c>
      <c r="E291" t="s">
        <v>910</v>
      </c>
      <c r="F291" t="str">
        <f>_xlfn.XLOOKUP(Table3[[#This Row],[pdg_zonecode]],Zones!A:A,Zones!B:B)</f>
        <v>BEYROUTH</v>
      </c>
      <c r="I291" t="s">
        <v>299</v>
      </c>
      <c r="J291" t="s">
        <v>300</v>
      </c>
      <c r="L291">
        <v>0</v>
      </c>
      <c r="N291">
        <v>0</v>
      </c>
      <c r="O291">
        <v>1</v>
      </c>
    </row>
    <row r="292" spans="1:15" x14ac:dyDescent="0.35">
      <c r="A292" t="s">
        <v>301</v>
      </c>
      <c r="B292" t="s">
        <v>302</v>
      </c>
      <c r="C292" t="s">
        <v>27</v>
      </c>
      <c r="D292" t="s">
        <v>28</v>
      </c>
      <c r="E292" t="s">
        <v>910</v>
      </c>
      <c r="F292" t="str">
        <f>_xlfn.XLOOKUP(Table3[[#This Row],[pdg_zonecode]],Zones!A:A,Zones!B:B)</f>
        <v>BEYROUTH</v>
      </c>
      <c r="L292">
        <v>0</v>
      </c>
      <c r="N292">
        <v>0</v>
      </c>
      <c r="O292">
        <v>1</v>
      </c>
    </row>
    <row r="293" spans="1:15" x14ac:dyDescent="0.35">
      <c r="A293" t="s">
        <v>303</v>
      </c>
      <c r="B293" t="s">
        <v>304</v>
      </c>
      <c r="C293" t="s">
        <v>27</v>
      </c>
      <c r="D293" t="s">
        <v>28</v>
      </c>
      <c r="E293" t="s">
        <v>910</v>
      </c>
      <c r="F293" t="str">
        <f>_xlfn.XLOOKUP(Table3[[#This Row],[pdg_zonecode]],Zones!A:A,Zones!B:B)</f>
        <v>BEYROUTH</v>
      </c>
      <c r="L293">
        <v>0</v>
      </c>
      <c r="N293">
        <v>0</v>
      </c>
      <c r="O293">
        <v>1</v>
      </c>
    </row>
    <row r="294" spans="1:15" x14ac:dyDescent="0.35">
      <c r="A294" t="s">
        <v>305</v>
      </c>
      <c r="B294" t="s">
        <v>306</v>
      </c>
      <c r="C294" t="s">
        <v>27</v>
      </c>
      <c r="D294" t="s">
        <v>28</v>
      </c>
      <c r="E294" t="s">
        <v>910</v>
      </c>
      <c r="F294" t="str">
        <f>_xlfn.XLOOKUP(Table3[[#This Row],[pdg_zonecode]],Zones!A:A,Zones!B:B)</f>
        <v>BEYROUTH</v>
      </c>
      <c r="G294" t="s">
        <v>307</v>
      </c>
      <c r="I294" t="s">
        <v>308</v>
      </c>
      <c r="L294">
        <v>0</v>
      </c>
      <c r="N294">
        <v>0</v>
      </c>
      <c r="O294">
        <v>1</v>
      </c>
    </row>
    <row r="295" spans="1:15" x14ac:dyDescent="0.35">
      <c r="A295" t="s">
        <v>309</v>
      </c>
      <c r="B295" t="s">
        <v>310</v>
      </c>
      <c r="C295" t="s">
        <v>27</v>
      </c>
      <c r="D295" t="s">
        <v>28</v>
      </c>
      <c r="E295" t="s">
        <v>910</v>
      </c>
      <c r="F295" t="str">
        <f>_xlfn.XLOOKUP(Table3[[#This Row],[pdg_zonecode]],Zones!A:A,Zones!B:B)</f>
        <v>BEYROUTH</v>
      </c>
      <c r="L295">
        <v>0</v>
      </c>
      <c r="N295">
        <v>0</v>
      </c>
      <c r="O295">
        <v>1</v>
      </c>
    </row>
    <row r="296" spans="1:15" x14ac:dyDescent="0.35">
      <c r="A296" t="s">
        <v>311</v>
      </c>
      <c r="B296" t="s">
        <v>312</v>
      </c>
      <c r="C296" t="s">
        <v>27</v>
      </c>
      <c r="D296" t="s">
        <v>28</v>
      </c>
      <c r="E296" t="s">
        <v>910</v>
      </c>
      <c r="F296" t="str">
        <f>_xlfn.XLOOKUP(Table3[[#This Row],[pdg_zonecode]],Zones!A:A,Zones!B:B)</f>
        <v>BEYROUTH</v>
      </c>
      <c r="G296" t="s">
        <v>118</v>
      </c>
      <c r="I296" t="s">
        <v>313</v>
      </c>
      <c r="L296">
        <v>0</v>
      </c>
      <c r="N296">
        <v>0</v>
      </c>
      <c r="O296">
        <v>1</v>
      </c>
    </row>
    <row r="297" spans="1:15" x14ac:dyDescent="0.35">
      <c r="A297" t="s">
        <v>314</v>
      </c>
      <c r="B297" t="s">
        <v>315</v>
      </c>
      <c r="C297" t="s">
        <v>27</v>
      </c>
      <c r="D297" t="s">
        <v>28</v>
      </c>
      <c r="E297" t="s">
        <v>910</v>
      </c>
      <c r="F297" t="str">
        <f>_xlfn.XLOOKUP(Table3[[#This Row],[pdg_zonecode]],Zones!A:A,Zones!B:B)</f>
        <v>BEYROUTH</v>
      </c>
      <c r="I297" t="s">
        <v>316</v>
      </c>
      <c r="J297" t="s">
        <v>317</v>
      </c>
      <c r="L297">
        <v>0</v>
      </c>
      <c r="N297">
        <v>0</v>
      </c>
      <c r="O297">
        <v>1</v>
      </c>
    </row>
    <row r="298" spans="1:15" x14ac:dyDescent="0.35">
      <c r="A298" t="s">
        <v>318</v>
      </c>
      <c r="B298" t="s">
        <v>319</v>
      </c>
      <c r="C298" t="s">
        <v>27</v>
      </c>
      <c r="D298" t="s">
        <v>28</v>
      </c>
      <c r="E298" t="s">
        <v>910</v>
      </c>
      <c r="F298" t="str">
        <f>_xlfn.XLOOKUP(Table3[[#This Row],[pdg_zonecode]],Zones!A:A,Zones!B:B)</f>
        <v>BEYROUTH</v>
      </c>
      <c r="L298">
        <v>0</v>
      </c>
      <c r="N298">
        <v>0</v>
      </c>
      <c r="O298">
        <v>1</v>
      </c>
    </row>
    <row r="299" spans="1:15" x14ac:dyDescent="0.35">
      <c r="A299" t="s">
        <v>48</v>
      </c>
      <c r="B299" t="s">
        <v>49</v>
      </c>
      <c r="C299" t="s">
        <v>17</v>
      </c>
      <c r="D299" t="s">
        <v>18</v>
      </c>
      <c r="E299" t="s">
        <v>905</v>
      </c>
      <c r="F299" t="str">
        <f>_xlfn.XLOOKUP(Table3[[#This Row],[pdg_zonecode]],Zones!A:A,Zones!B:B)</f>
        <v>FRIBOURG</v>
      </c>
      <c r="G299" t="s">
        <v>50</v>
      </c>
      <c r="H299" t="s">
        <v>51</v>
      </c>
      <c r="I299" t="s">
        <v>52</v>
      </c>
      <c r="K299" t="s">
        <v>53</v>
      </c>
      <c r="L299">
        <v>0</v>
      </c>
      <c r="N299">
        <v>0</v>
      </c>
      <c r="O299">
        <v>1</v>
      </c>
    </row>
    <row r="300" spans="1:15" x14ac:dyDescent="0.35">
      <c r="A300" t="s">
        <v>320</v>
      </c>
      <c r="B300" t="s">
        <v>321</v>
      </c>
      <c r="C300" t="s">
        <v>27</v>
      </c>
      <c r="D300" t="s">
        <v>28</v>
      </c>
      <c r="E300" t="s">
        <v>910</v>
      </c>
      <c r="F300" t="str">
        <f>_xlfn.XLOOKUP(Table3[[#This Row],[pdg_zonecode]],Zones!A:A,Zones!B:B)</f>
        <v>BEYROUTH</v>
      </c>
      <c r="L300">
        <v>0</v>
      </c>
      <c r="N300">
        <v>0</v>
      </c>
      <c r="O300">
        <v>1</v>
      </c>
    </row>
    <row r="301" spans="1:15" x14ac:dyDescent="0.35">
      <c r="A301" t="s">
        <v>322</v>
      </c>
      <c r="B301" t="s">
        <v>323</v>
      </c>
      <c r="C301" t="s">
        <v>27</v>
      </c>
      <c r="D301" t="s">
        <v>28</v>
      </c>
      <c r="E301" t="s">
        <v>910</v>
      </c>
      <c r="F301" t="str">
        <f>_xlfn.XLOOKUP(Table3[[#This Row],[pdg_zonecode]],Zones!A:A,Zones!B:B)</f>
        <v>BEYROUTH</v>
      </c>
      <c r="L301">
        <v>0</v>
      </c>
      <c r="N301">
        <v>0</v>
      </c>
      <c r="O301">
        <v>1</v>
      </c>
    </row>
    <row r="302" spans="1:15" x14ac:dyDescent="0.35">
      <c r="A302" t="s">
        <v>324</v>
      </c>
      <c r="B302" t="s">
        <v>325</v>
      </c>
      <c r="C302" t="s">
        <v>27</v>
      </c>
      <c r="D302" t="s">
        <v>28</v>
      </c>
      <c r="E302" t="s">
        <v>910</v>
      </c>
      <c r="F302" t="str">
        <f>_xlfn.XLOOKUP(Table3[[#This Row],[pdg_zonecode]],Zones!A:A,Zones!B:B)</f>
        <v>BEYROUTH</v>
      </c>
      <c r="L302">
        <v>0</v>
      </c>
      <c r="N302">
        <v>0</v>
      </c>
      <c r="O302">
        <v>1</v>
      </c>
    </row>
    <row r="303" spans="1:15" x14ac:dyDescent="0.35">
      <c r="A303" t="s">
        <v>326</v>
      </c>
      <c r="B303" t="s">
        <v>327</v>
      </c>
      <c r="C303" t="s">
        <v>27</v>
      </c>
      <c r="D303" t="s">
        <v>28</v>
      </c>
      <c r="E303" t="s">
        <v>910</v>
      </c>
      <c r="F303" t="str">
        <f>_xlfn.XLOOKUP(Table3[[#This Row],[pdg_zonecode]],Zones!A:A,Zones!B:B)</f>
        <v>BEYROUTH</v>
      </c>
      <c r="L303">
        <v>0</v>
      </c>
      <c r="N303">
        <v>0</v>
      </c>
      <c r="O303">
        <v>1</v>
      </c>
    </row>
    <row r="304" spans="1:15" x14ac:dyDescent="0.35">
      <c r="A304" t="s">
        <v>328</v>
      </c>
      <c r="B304" t="s">
        <v>329</v>
      </c>
      <c r="C304" t="s">
        <v>17</v>
      </c>
      <c r="D304" t="s">
        <v>18</v>
      </c>
      <c r="E304" t="s">
        <v>84</v>
      </c>
      <c r="F304" t="str">
        <f>_xlfn.XLOOKUP(Table3[[#This Row],[pdg_zonecode]],Zones!A:A,Zones!B:B)</f>
        <v>EMIRATES</v>
      </c>
      <c r="L304">
        <v>0</v>
      </c>
      <c r="N304">
        <v>0</v>
      </c>
      <c r="O304">
        <v>1</v>
      </c>
    </row>
    <row r="305" spans="1:15" x14ac:dyDescent="0.35">
      <c r="A305" t="s">
        <v>330</v>
      </c>
      <c r="B305" t="s">
        <v>331</v>
      </c>
      <c r="C305" t="s">
        <v>27</v>
      </c>
      <c r="D305" t="s">
        <v>28</v>
      </c>
      <c r="E305" t="s">
        <v>910</v>
      </c>
      <c r="F305" t="str">
        <f>_xlfn.XLOOKUP(Table3[[#This Row],[pdg_zonecode]],Zones!A:A,Zones!B:B)</f>
        <v>BEYROUTH</v>
      </c>
      <c r="L305">
        <v>0</v>
      </c>
      <c r="N305">
        <v>0</v>
      </c>
      <c r="O305">
        <v>1</v>
      </c>
    </row>
    <row r="306" spans="1:15" x14ac:dyDescent="0.35">
      <c r="A306" t="s">
        <v>332</v>
      </c>
      <c r="B306" t="s">
        <v>333</v>
      </c>
      <c r="C306" t="s">
        <v>27</v>
      </c>
      <c r="D306" t="s">
        <v>28</v>
      </c>
      <c r="E306" t="s">
        <v>910</v>
      </c>
      <c r="F306" t="str">
        <f>_xlfn.XLOOKUP(Table3[[#This Row],[pdg_zonecode]],Zones!A:A,Zones!B:B)</f>
        <v>BEYROUTH</v>
      </c>
      <c r="L306">
        <v>0</v>
      </c>
      <c r="N306">
        <v>0</v>
      </c>
      <c r="O306">
        <v>1</v>
      </c>
    </row>
    <row r="307" spans="1:15" x14ac:dyDescent="0.35">
      <c r="A307" t="s">
        <v>334</v>
      </c>
      <c r="B307" t="s">
        <v>335</v>
      </c>
      <c r="C307" t="s">
        <v>17</v>
      </c>
      <c r="D307" t="s">
        <v>18</v>
      </c>
      <c r="E307" t="s">
        <v>929</v>
      </c>
      <c r="F307" t="str">
        <f>_xlfn.XLOOKUP(Table3[[#This Row],[pdg_zonecode]],Zones!A:A,Zones!B:B)</f>
        <v>THAILAND</v>
      </c>
      <c r="L307">
        <v>0</v>
      </c>
      <c r="N307">
        <v>0</v>
      </c>
      <c r="O307">
        <v>1</v>
      </c>
    </row>
    <row r="308" spans="1:15" x14ac:dyDescent="0.35">
      <c r="A308" t="s">
        <v>336</v>
      </c>
      <c r="B308" t="s">
        <v>337</v>
      </c>
      <c r="C308" t="s">
        <v>27</v>
      </c>
      <c r="D308" t="s">
        <v>28</v>
      </c>
      <c r="E308" t="s">
        <v>902</v>
      </c>
      <c r="F308" t="str">
        <f>_xlfn.XLOOKUP(Table3[[#This Row],[pdg_zonecode]],Zones!A:A,Zones!B:B)</f>
        <v>LEBANON</v>
      </c>
      <c r="L308">
        <v>0</v>
      </c>
      <c r="N308">
        <v>0</v>
      </c>
      <c r="O308">
        <v>1</v>
      </c>
    </row>
    <row r="309" spans="1:15" x14ac:dyDescent="0.35">
      <c r="A309" t="s">
        <v>338</v>
      </c>
      <c r="B309" t="s">
        <v>339</v>
      </c>
      <c r="C309" t="s">
        <v>27</v>
      </c>
      <c r="D309" t="s">
        <v>28</v>
      </c>
      <c r="E309" t="s">
        <v>902</v>
      </c>
      <c r="F309" t="str">
        <f>_xlfn.XLOOKUP(Table3[[#This Row],[pdg_zonecode]],Zones!A:A,Zones!B:B)</f>
        <v>LEBANON</v>
      </c>
      <c r="L309">
        <v>0</v>
      </c>
      <c r="N309">
        <v>0</v>
      </c>
      <c r="O309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1D3E-C6E6-43F3-B7F2-6DB278345FF5}">
  <dimension ref="A1:E88"/>
  <sheetViews>
    <sheetView workbookViewId="0">
      <selection activeCell="B2" sqref="B2"/>
    </sheetView>
  </sheetViews>
  <sheetFormatPr defaultRowHeight="14.5" x14ac:dyDescent="0.35"/>
  <cols>
    <col min="1" max="1" width="15.08984375" customWidth="1"/>
    <col min="2" max="2" width="20.1796875" bestFit="1" customWidth="1"/>
    <col min="3" max="3" width="13" customWidth="1"/>
    <col min="4" max="4" width="12.7265625" customWidth="1"/>
    <col min="5" max="5" width="13.36328125" customWidth="1"/>
  </cols>
  <sheetData>
    <row r="1" spans="1:5" x14ac:dyDescent="0.35">
      <c r="A1" s="1" t="s">
        <v>898</v>
      </c>
      <c r="B1" s="1" t="s">
        <v>1</v>
      </c>
      <c r="C1" s="1" t="s">
        <v>899</v>
      </c>
      <c r="D1" s="1" t="s">
        <v>900</v>
      </c>
      <c r="E1" s="1" t="s">
        <v>901</v>
      </c>
    </row>
    <row r="2" spans="1:5" x14ac:dyDescent="0.35">
      <c r="A2" t="s">
        <v>98</v>
      </c>
      <c r="B2" t="s">
        <v>976</v>
      </c>
      <c r="C2" t="s">
        <v>903</v>
      </c>
    </row>
    <row r="3" spans="1:5" x14ac:dyDescent="0.35">
      <c r="A3" t="s">
        <v>980</v>
      </c>
      <c r="B3" t="s">
        <v>981</v>
      </c>
      <c r="C3" t="s">
        <v>906</v>
      </c>
      <c r="D3" t="s">
        <v>84</v>
      </c>
      <c r="E3" t="s">
        <v>969</v>
      </c>
    </row>
    <row r="4" spans="1:5" x14ac:dyDescent="0.35">
      <c r="A4" t="s">
        <v>119</v>
      </c>
      <c r="B4" t="s">
        <v>989</v>
      </c>
      <c r="C4" t="s">
        <v>903</v>
      </c>
    </row>
    <row r="5" spans="1:5" x14ac:dyDescent="0.35">
      <c r="A5" t="s">
        <v>962</v>
      </c>
      <c r="B5" t="s">
        <v>963</v>
      </c>
      <c r="C5" t="s">
        <v>906</v>
      </c>
      <c r="D5" t="s">
        <v>76</v>
      </c>
      <c r="E5" t="s">
        <v>961</v>
      </c>
    </row>
    <row r="6" spans="1:5" x14ac:dyDescent="0.35">
      <c r="A6" t="s">
        <v>984</v>
      </c>
      <c r="B6" t="s">
        <v>985</v>
      </c>
      <c r="C6" t="s">
        <v>906</v>
      </c>
      <c r="D6" t="s">
        <v>112</v>
      </c>
      <c r="E6" t="s">
        <v>979</v>
      </c>
    </row>
    <row r="7" spans="1:5" x14ac:dyDescent="0.35">
      <c r="A7" t="s">
        <v>96</v>
      </c>
      <c r="B7" t="s">
        <v>975</v>
      </c>
      <c r="C7" t="s">
        <v>903</v>
      </c>
    </row>
    <row r="8" spans="1:5" x14ac:dyDescent="0.35">
      <c r="A8" t="s">
        <v>1007</v>
      </c>
      <c r="B8" t="s">
        <v>1008</v>
      </c>
      <c r="C8" t="s">
        <v>906</v>
      </c>
      <c r="D8" t="s">
        <v>151</v>
      </c>
      <c r="E8" t="s">
        <v>1006</v>
      </c>
    </row>
    <row r="9" spans="1:5" x14ac:dyDescent="0.35">
      <c r="A9" t="s">
        <v>135</v>
      </c>
      <c r="B9" t="s">
        <v>994</v>
      </c>
      <c r="C9" t="s">
        <v>903</v>
      </c>
    </row>
    <row r="10" spans="1:5" x14ac:dyDescent="0.35">
      <c r="A10" t="s">
        <v>931</v>
      </c>
      <c r="B10" t="s">
        <v>865</v>
      </c>
      <c r="C10" t="s">
        <v>906</v>
      </c>
      <c r="D10" t="s">
        <v>929</v>
      </c>
      <c r="E10" t="s">
        <v>930</v>
      </c>
    </row>
    <row r="11" spans="1:5" x14ac:dyDescent="0.35">
      <c r="A11" t="s">
        <v>932</v>
      </c>
      <c r="B11" t="s">
        <v>933</v>
      </c>
      <c r="C11" t="s">
        <v>934</v>
      </c>
      <c r="D11" t="s">
        <v>931</v>
      </c>
      <c r="E11" t="s">
        <v>865</v>
      </c>
    </row>
    <row r="12" spans="1:5" x14ac:dyDescent="0.35">
      <c r="A12" t="s">
        <v>922</v>
      </c>
      <c r="B12" t="s">
        <v>923</v>
      </c>
      <c r="C12" t="s">
        <v>903</v>
      </c>
    </row>
    <row r="13" spans="1:5" x14ac:dyDescent="0.35">
      <c r="A13" t="s">
        <v>910</v>
      </c>
      <c r="B13" t="s">
        <v>911</v>
      </c>
      <c r="C13" t="s">
        <v>906</v>
      </c>
      <c r="D13" t="s">
        <v>902</v>
      </c>
      <c r="E13" t="s">
        <v>543</v>
      </c>
    </row>
    <row r="14" spans="1:5" x14ac:dyDescent="0.35">
      <c r="A14" t="s">
        <v>140</v>
      </c>
      <c r="B14" t="s">
        <v>997</v>
      </c>
      <c r="C14" t="s">
        <v>903</v>
      </c>
    </row>
    <row r="15" spans="1:5" x14ac:dyDescent="0.35">
      <c r="A15" t="s">
        <v>163</v>
      </c>
      <c r="B15" t="s">
        <v>1016</v>
      </c>
      <c r="C15" t="s">
        <v>903</v>
      </c>
    </row>
    <row r="16" spans="1:5" x14ac:dyDescent="0.35">
      <c r="A16" t="s">
        <v>967</v>
      </c>
      <c r="B16" t="s">
        <v>968</v>
      </c>
      <c r="C16" t="s">
        <v>906</v>
      </c>
      <c r="D16" t="s">
        <v>82</v>
      </c>
      <c r="E16" t="s">
        <v>966</v>
      </c>
    </row>
    <row r="17" spans="1:5" x14ac:dyDescent="0.35">
      <c r="A17" t="s">
        <v>72</v>
      </c>
      <c r="B17" t="s">
        <v>951</v>
      </c>
      <c r="C17" t="s">
        <v>903</v>
      </c>
    </row>
    <row r="18" spans="1:5" x14ac:dyDescent="0.35">
      <c r="A18" t="s">
        <v>928</v>
      </c>
      <c r="B18" t="s">
        <v>95</v>
      </c>
      <c r="C18" t="s">
        <v>906</v>
      </c>
      <c r="D18" t="s">
        <v>926</v>
      </c>
      <c r="E18" t="s">
        <v>927</v>
      </c>
    </row>
    <row r="19" spans="1:5" x14ac:dyDescent="0.35">
      <c r="A19" t="s">
        <v>180</v>
      </c>
      <c r="B19" t="s">
        <v>1024</v>
      </c>
      <c r="C19" t="s">
        <v>903</v>
      </c>
    </row>
    <row r="20" spans="1:5" x14ac:dyDescent="0.35">
      <c r="A20" t="s">
        <v>172</v>
      </c>
      <c r="B20" t="s">
        <v>1021</v>
      </c>
      <c r="C20" t="s">
        <v>903</v>
      </c>
    </row>
    <row r="21" spans="1:5" x14ac:dyDescent="0.35">
      <c r="A21" t="s">
        <v>54</v>
      </c>
      <c r="B21" t="s">
        <v>937</v>
      </c>
      <c r="C21" t="s">
        <v>903</v>
      </c>
    </row>
    <row r="22" spans="1:5" x14ac:dyDescent="0.35">
      <c r="A22" t="s">
        <v>959</v>
      </c>
      <c r="B22" t="s">
        <v>960</v>
      </c>
      <c r="C22" t="s">
        <v>906</v>
      </c>
      <c r="D22" t="s">
        <v>74</v>
      </c>
      <c r="E22" t="s">
        <v>958</v>
      </c>
    </row>
    <row r="23" spans="1:5" x14ac:dyDescent="0.35">
      <c r="A23" t="s">
        <v>935</v>
      </c>
      <c r="B23" t="s">
        <v>936</v>
      </c>
      <c r="C23" t="s">
        <v>934</v>
      </c>
      <c r="D23" t="s">
        <v>928</v>
      </c>
      <c r="E23" t="s">
        <v>95</v>
      </c>
    </row>
    <row r="24" spans="1:5" x14ac:dyDescent="0.35">
      <c r="A24" t="s">
        <v>949</v>
      </c>
      <c r="B24" t="s">
        <v>950</v>
      </c>
      <c r="C24" t="s">
        <v>906</v>
      </c>
      <c r="D24" t="s">
        <v>70</v>
      </c>
      <c r="E24" t="s">
        <v>948</v>
      </c>
    </row>
    <row r="25" spans="1:5" x14ac:dyDescent="0.35">
      <c r="A25" t="s">
        <v>265</v>
      </c>
      <c r="B25" t="s">
        <v>266</v>
      </c>
      <c r="C25" t="s">
        <v>906</v>
      </c>
      <c r="D25" t="s">
        <v>84</v>
      </c>
      <c r="E25" t="s">
        <v>969</v>
      </c>
    </row>
    <row r="26" spans="1:5" x14ac:dyDescent="0.35">
      <c r="A26" t="s">
        <v>82</v>
      </c>
      <c r="B26" t="s">
        <v>966</v>
      </c>
      <c r="C26" t="s">
        <v>903</v>
      </c>
    </row>
    <row r="27" spans="1:5" x14ac:dyDescent="0.35">
      <c r="A27" t="s">
        <v>84</v>
      </c>
      <c r="B27" t="s">
        <v>969</v>
      </c>
      <c r="C27" t="s">
        <v>903</v>
      </c>
    </row>
    <row r="28" spans="1:5" x14ac:dyDescent="0.35">
      <c r="A28" t="s">
        <v>60</v>
      </c>
      <c r="B28" t="s">
        <v>942</v>
      </c>
      <c r="C28" t="s">
        <v>903</v>
      </c>
    </row>
    <row r="29" spans="1:5" x14ac:dyDescent="0.35">
      <c r="A29" t="s">
        <v>907</v>
      </c>
      <c r="B29" t="s">
        <v>908</v>
      </c>
      <c r="C29" t="s">
        <v>903</v>
      </c>
    </row>
    <row r="30" spans="1:5" x14ac:dyDescent="0.35">
      <c r="A30" t="s">
        <v>905</v>
      </c>
      <c r="B30" t="s">
        <v>20</v>
      </c>
      <c r="C30" t="s">
        <v>906</v>
      </c>
      <c r="D30" t="s">
        <v>904</v>
      </c>
      <c r="E30" t="s">
        <v>132</v>
      </c>
    </row>
    <row r="31" spans="1:5" x14ac:dyDescent="0.35">
      <c r="A31" t="s">
        <v>916</v>
      </c>
      <c r="B31" t="s">
        <v>917</v>
      </c>
      <c r="C31" t="s">
        <v>906</v>
      </c>
      <c r="D31" t="s">
        <v>904</v>
      </c>
      <c r="E31" t="s">
        <v>132</v>
      </c>
    </row>
    <row r="32" spans="1:5" x14ac:dyDescent="0.35">
      <c r="A32" t="s">
        <v>920</v>
      </c>
      <c r="B32" t="s">
        <v>921</v>
      </c>
      <c r="C32" t="s">
        <v>903</v>
      </c>
    </row>
    <row r="33" spans="1:5" x14ac:dyDescent="0.35">
      <c r="A33" t="s">
        <v>114</v>
      </c>
      <c r="B33" t="s">
        <v>987</v>
      </c>
      <c r="C33" t="s">
        <v>903</v>
      </c>
    </row>
    <row r="34" spans="1:5" x14ac:dyDescent="0.35">
      <c r="A34" t="s">
        <v>90</v>
      </c>
      <c r="B34" t="s">
        <v>973</v>
      </c>
      <c r="C34" t="s">
        <v>903</v>
      </c>
    </row>
    <row r="35" spans="1:5" x14ac:dyDescent="0.35">
      <c r="A35" t="s">
        <v>112</v>
      </c>
      <c r="B35" t="s">
        <v>979</v>
      </c>
      <c r="C35" t="s">
        <v>903</v>
      </c>
    </row>
    <row r="36" spans="1:5" x14ac:dyDescent="0.35">
      <c r="A36" t="s">
        <v>168</v>
      </c>
      <c r="B36" t="s">
        <v>1017</v>
      </c>
      <c r="C36" t="s">
        <v>903</v>
      </c>
    </row>
    <row r="37" spans="1:5" x14ac:dyDescent="0.35">
      <c r="A37" t="s">
        <v>175</v>
      </c>
      <c r="B37" t="s">
        <v>1022</v>
      </c>
      <c r="C37" t="s">
        <v>903</v>
      </c>
    </row>
    <row r="38" spans="1:5" x14ac:dyDescent="0.35">
      <c r="A38" t="s">
        <v>142</v>
      </c>
      <c r="B38" t="s">
        <v>998</v>
      </c>
      <c r="C38" t="s">
        <v>903</v>
      </c>
    </row>
    <row r="39" spans="1:5" x14ac:dyDescent="0.35">
      <c r="A39" t="s">
        <v>151</v>
      </c>
      <c r="B39" t="s">
        <v>1006</v>
      </c>
      <c r="C39" t="s">
        <v>903</v>
      </c>
    </row>
    <row r="40" spans="1:5" x14ac:dyDescent="0.35">
      <c r="A40" t="s">
        <v>86</v>
      </c>
      <c r="B40" t="s">
        <v>970</v>
      </c>
      <c r="C40" t="s">
        <v>903</v>
      </c>
    </row>
    <row r="41" spans="1:5" x14ac:dyDescent="0.35">
      <c r="A41" t="s">
        <v>924</v>
      </c>
      <c r="B41" t="s">
        <v>925</v>
      </c>
      <c r="C41" t="s">
        <v>903</v>
      </c>
    </row>
    <row r="42" spans="1:5" x14ac:dyDescent="0.35">
      <c r="A42" t="s">
        <v>982</v>
      </c>
      <c r="B42" t="s">
        <v>983</v>
      </c>
      <c r="C42" t="s">
        <v>906</v>
      </c>
      <c r="D42" t="s">
        <v>902</v>
      </c>
      <c r="E42" t="s">
        <v>543</v>
      </c>
    </row>
    <row r="43" spans="1:5" x14ac:dyDescent="0.35">
      <c r="A43" t="s">
        <v>76</v>
      </c>
      <c r="B43" t="s">
        <v>961</v>
      </c>
      <c r="C43" t="s">
        <v>903</v>
      </c>
    </row>
    <row r="44" spans="1:5" x14ac:dyDescent="0.35">
      <c r="A44" t="s">
        <v>986</v>
      </c>
      <c r="B44" t="s">
        <v>858</v>
      </c>
      <c r="C44" t="s">
        <v>906</v>
      </c>
      <c r="D44" t="s">
        <v>902</v>
      </c>
      <c r="E44" t="s">
        <v>543</v>
      </c>
    </row>
    <row r="45" spans="1:5" x14ac:dyDescent="0.35">
      <c r="A45" t="s">
        <v>1025</v>
      </c>
      <c r="B45" t="s">
        <v>1026</v>
      </c>
      <c r="C45" t="s">
        <v>906</v>
      </c>
      <c r="D45" t="s">
        <v>180</v>
      </c>
      <c r="E45" t="s">
        <v>1024</v>
      </c>
    </row>
    <row r="46" spans="1:5" x14ac:dyDescent="0.35">
      <c r="A46" t="s">
        <v>1018</v>
      </c>
      <c r="B46" t="s">
        <v>1019</v>
      </c>
      <c r="C46" t="s">
        <v>906</v>
      </c>
      <c r="D46" t="s">
        <v>168</v>
      </c>
      <c r="E46" t="s">
        <v>1017</v>
      </c>
    </row>
    <row r="47" spans="1:5" x14ac:dyDescent="0.35">
      <c r="A47" t="s">
        <v>66</v>
      </c>
      <c r="B47" t="s">
        <v>945</v>
      </c>
      <c r="C47" t="s">
        <v>903</v>
      </c>
    </row>
    <row r="48" spans="1:5" x14ac:dyDescent="0.35">
      <c r="A48" t="s">
        <v>902</v>
      </c>
      <c r="B48" t="s">
        <v>543</v>
      </c>
      <c r="C48" t="s">
        <v>903</v>
      </c>
    </row>
    <row r="49" spans="1:5" x14ac:dyDescent="0.35">
      <c r="A49" t="s">
        <v>938</v>
      </c>
      <c r="B49" t="s">
        <v>939</v>
      </c>
      <c r="C49" t="s">
        <v>906</v>
      </c>
      <c r="D49" t="s">
        <v>54</v>
      </c>
      <c r="E49" t="s">
        <v>937</v>
      </c>
    </row>
    <row r="50" spans="1:5" x14ac:dyDescent="0.35">
      <c r="A50" t="s">
        <v>1001</v>
      </c>
      <c r="B50" t="s">
        <v>1002</v>
      </c>
      <c r="C50" t="s">
        <v>906</v>
      </c>
      <c r="D50" t="s">
        <v>60</v>
      </c>
      <c r="E50" t="s">
        <v>942</v>
      </c>
    </row>
    <row r="51" spans="1:5" x14ac:dyDescent="0.35">
      <c r="A51" t="s">
        <v>619</v>
      </c>
      <c r="B51" t="s">
        <v>1020</v>
      </c>
      <c r="C51" t="s">
        <v>906</v>
      </c>
      <c r="D51" t="s">
        <v>64</v>
      </c>
      <c r="E51" t="s">
        <v>943</v>
      </c>
    </row>
    <row r="52" spans="1:5" x14ac:dyDescent="0.35">
      <c r="A52" t="s">
        <v>1013</v>
      </c>
      <c r="B52" t="s">
        <v>1014</v>
      </c>
      <c r="C52" t="s">
        <v>906</v>
      </c>
      <c r="D52" t="s">
        <v>155</v>
      </c>
      <c r="E52" t="s">
        <v>1012</v>
      </c>
    </row>
    <row r="53" spans="1:5" x14ac:dyDescent="0.35">
      <c r="A53" t="s">
        <v>125</v>
      </c>
      <c r="B53" t="s">
        <v>992</v>
      </c>
      <c r="C53" t="s">
        <v>903</v>
      </c>
    </row>
    <row r="54" spans="1:5" x14ac:dyDescent="0.35">
      <c r="A54" t="s">
        <v>995</v>
      </c>
      <c r="B54" t="s">
        <v>996</v>
      </c>
      <c r="C54" t="s">
        <v>906</v>
      </c>
      <c r="D54" t="s">
        <v>135</v>
      </c>
      <c r="E54" t="s">
        <v>994</v>
      </c>
    </row>
    <row r="55" spans="1:5" x14ac:dyDescent="0.35">
      <c r="A55" t="s">
        <v>1010</v>
      </c>
      <c r="B55" t="s">
        <v>1011</v>
      </c>
      <c r="C55" t="s">
        <v>906</v>
      </c>
      <c r="D55" t="s">
        <v>153</v>
      </c>
      <c r="E55" t="s">
        <v>1009</v>
      </c>
    </row>
    <row r="56" spans="1:5" x14ac:dyDescent="0.35">
      <c r="A56" t="s">
        <v>88</v>
      </c>
      <c r="B56" t="s">
        <v>971</v>
      </c>
      <c r="C56" t="s">
        <v>903</v>
      </c>
    </row>
    <row r="57" spans="1:5" x14ac:dyDescent="0.35">
      <c r="A57" t="s">
        <v>972</v>
      </c>
      <c r="B57" t="s">
        <v>971</v>
      </c>
      <c r="C57" t="s">
        <v>906</v>
      </c>
      <c r="D57" t="s">
        <v>88</v>
      </c>
      <c r="E57" t="s">
        <v>971</v>
      </c>
    </row>
    <row r="58" spans="1:5" x14ac:dyDescent="0.35">
      <c r="A58" t="s">
        <v>909</v>
      </c>
      <c r="B58" t="s">
        <v>32</v>
      </c>
      <c r="C58" t="s">
        <v>906</v>
      </c>
      <c r="D58" t="s">
        <v>907</v>
      </c>
      <c r="E58" t="s">
        <v>908</v>
      </c>
    </row>
    <row r="59" spans="1:5" x14ac:dyDescent="0.35">
      <c r="A59" t="s">
        <v>952</v>
      </c>
      <c r="B59" t="s">
        <v>953</v>
      </c>
      <c r="C59" t="s">
        <v>906</v>
      </c>
      <c r="D59" t="s">
        <v>72</v>
      </c>
      <c r="E59" t="s">
        <v>951</v>
      </c>
    </row>
    <row r="60" spans="1:5" x14ac:dyDescent="0.35">
      <c r="A60" t="s">
        <v>100</v>
      </c>
      <c r="B60" t="s">
        <v>977</v>
      </c>
      <c r="C60" t="s">
        <v>903</v>
      </c>
    </row>
    <row r="61" spans="1:5" x14ac:dyDescent="0.35">
      <c r="A61" t="s">
        <v>159</v>
      </c>
      <c r="B61" t="s">
        <v>944</v>
      </c>
      <c r="C61" t="s">
        <v>906</v>
      </c>
      <c r="D61" t="s">
        <v>64</v>
      </c>
      <c r="E61" t="s">
        <v>943</v>
      </c>
    </row>
    <row r="62" spans="1:5" x14ac:dyDescent="0.35">
      <c r="A62" t="s">
        <v>153</v>
      </c>
      <c r="B62" t="s">
        <v>1009</v>
      </c>
      <c r="C62" t="s">
        <v>903</v>
      </c>
    </row>
    <row r="63" spans="1:5" x14ac:dyDescent="0.35">
      <c r="A63" t="s">
        <v>918</v>
      </c>
      <c r="B63" t="s">
        <v>919</v>
      </c>
      <c r="C63" t="s">
        <v>906</v>
      </c>
      <c r="D63" t="s">
        <v>907</v>
      </c>
      <c r="E63" t="s">
        <v>908</v>
      </c>
    </row>
    <row r="64" spans="1:5" x14ac:dyDescent="0.35">
      <c r="A64" t="s">
        <v>123</v>
      </c>
      <c r="B64" t="s">
        <v>991</v>
      </c>
      <c r="C64" t="s">
        <v>903</v>
      </c>
    </row>
    <row r="65" spans="1:5" x14ac:dyDescent="0.35">
      <c r="A65" t="s">
        <v>70</v>
      </c>
      <c r="B65" t="s">
        <v>948</v>
      </c>
      <c r="C65" t="s">
        <v>903</v>
      </c>
    </row>
    <row r="66" spans="1:5" x14ac:dyDescent="0.35">
      <c r="A66" t="s">
        <v>956</v>
      </c>
      <c r="B66" t="s">
        <v>957</v>
      </c>
      <c r="C66" t="s">
        <v>906</v>
      </c>
      <c r="D66" t="s">
        <v>72</v>
      </c>
      <c r="E66" t="s">
        <v>951</v>
      </c>
    </row>
    <row r="67" spans="1:5" x14ac:dyDescent="0.35">
      <c r="A67" t="s">
        <v>1004</v>
      </c>
      <c r="B67" t="s">
        <v>1005</v>
      </c>
      <c r="C67" t="s">
        <v>906</v>
      </c>
      <c r="D67" t="s">
        <v>100</v>
      </c>
      <c r="E67" t="s">
        <v>977</v>
      </c>
    </row>
    <row r="68" spans="1:5" x14ac:dyDescent="0.35">
      <c r="A68" t="s">
        <v>914</v>
      </c>
      <c r="B68" t="s">
        <v>915</v>
      </c>
      <c r="C68" t="s">
        <v>906</v>
      </c>
      <c r="D68" t="s">
        <v>912</v>
      </c>
      <c r="E68" t="s">
        <v>913</v>
      </c>
    </row>
    <row r="69" spans="1:5" x14ac:dyDescent="0.35">
      <c r="A69" t="s">
        <v>177</v>
      </c>
      <c r="B69" t="s">
        <v>1023</v>
      </c>
      <c r="C69" t="s">
        <v>903</v>
      </c>
    </row>
    <row r="70" spans="1:5" x14ac:dyDescent="0.35">
      <c r="A70" t="s">
        <v>116</v>
      </c>
      <c r="B70" t="s">
        <v>988</v>
      </c>
      <c r="C70" t="s">
        <v>903</v>
      </c>
    </row>
    <row r="71" spans="1:5" x14ac:dyDescent="0.35">
      <c r="A71" t="s">
        <v>964</v>
      </c>
      <c r="B71" t="s">
        <v>965</v>
      </c>
      <c r="C71" t="s">
        <v>906</v>
      </c>
      <c r="D71" t="s">
        <v>902</v>
      </c>
      <c r="E71" t="s">
        <v>543</v>
      </c>
    </row>
    <row r="72" spans="1:5" x14ac:dyDescent="0.35">
      <c r="A72" t="s">
        <v>912</v>
      </c>
      <c r="B72" t="s">
        <v>913</v>
      </c>
      <c r="C72" t="s">
        <v>903</v>
      </c>
    </row>
    <row r="73" spans="1:5" x14ac:dyDescent="0.35">
      <c r="A73" t="s">
        <v>92</v>
      </c>
      <c r="B73" t="s">
        <v>974</v>
      </c>
      <c r="C73" t="s">
        <v>903</v>
      </c>
    </row>
    <row r="74" spans="1:5" x14ac:dyDescent="0.35">
      <c r="A74" t="s">
        <v>105</v>
      </c>
      <c r="B74" t="s">
        <v>978</v>
      </c>
      <c r="C74" t="s">
        <v>903</v>
      </c>
    </row>
    <row r="75" spans="1:5" x14ac:dyDescent="0.35">
      <c r="A75" t="s">
        <v>121</v>
      </c>
      <c r="B75" t="s">
        <v>990</v>
      </c>
      <c r="C75" t="s">
        <v>903</v>
      </c>
    </row>
    <row r="76" spans="1:5" x14ac:dyDescent="0.35">
      <c r="A76" t="s">
        <v>155</v>
      </c>
      <c r="B76" t="s">
        <v>1012</v>
      </c>
      <c r="C76" t="s">
        <v>903</v>
      </c>
    </row>
    <row r="77" spans="1:5" x14ac:dyDescent="0.35">
      <c r="A77" t="s">
        <v>926</v>
      </c>
      <c r="B77" t="s">
        <v>927</v>
      </c>
      <c r="C77" t="s">
        <v>903</v>
      </c>
    </row>
    <row r="78" spans="1:5" x14ac:dyDescent="0.35">
      <c r="A78" t="s">
        <v>904</v>
      </c>
      <c r="B78" t="s">
        <v>132</v>
      </c>
      <c r="C78" t="s">
        <v>903</v>
      </c>
    </row>
    <row r="79" spans="1:5" x14ac:dyDescent="0.35">
      <c r="A79" t="s">
        <v>74</v>
      </c>
      <c r="B79" t="s">
        <v>958</v>
      </c>
      <c r="C79" t="s">
        <v>903</v>
      </c>
    </row>
    <row r="80" spans="1:5" x14ac:dyDescent="0.35">
      <c r="A80" t="s">
        <v>999</v>
      </c>
      <c r="B80" t="s">
        <v>1000</v>
      </c>
      <c r="C80" t="s">
        <v>906</v>
      </c>
      <c r="D80" t="s">
        <v>142</v>
      </c>
      <c r="E80" t="s">
        <v>998</v>
      </c>
    </row>
    <row r="81" spans="1:5" x14ac:dyDescent="0.35">
      <c r="A81" t="s">
        <v>929</v>
      </c>
      <c r="B81" t="s">
        <v>930</v>
      </c>
      <c r="C81" t="s">
        <v>903</v>
      </c>
    </row>
    <row r="82" spans="1:5" x14ac:dyDescent="0.35">
      <c r="A82" t="s">
        <v>954</v>
      </c>
      <c r="B82" t="s">
        <v>955</v>
      </c>
      <c r="C82" t="s">
        <v>906</v>
      </c>
      <c r="D82" t="s">
        <v>72</v>
      </c>
      <c r="E82" t="s">
        <v>951</v>
      </c>
    </row>
    <row r="83" spans="1:5" x14ac:dyDescent="0.35">
      <c r="A83" t="s">
        <v>940</v>
      </c>
      <c r="B83" t="s">
        <v>941</v>
      </c>
      <c r="C83" t="s">
        <v>906</v>
      </c>
      <c r="D83" t="s">
        <v>902</v>
      </c>
      <c r="E83" t="s">
        <v>543</v>
      </c>
    </row>
    <row r="84" spans="1:5" x14ac:dyDescent="0.35">
      <c r="A84" t="s">
        <v>129</v>
      </c>
      <c r="B84" t="s">
        <v>993</v>
      </c>
      <c r="C84" t="s">
        <v>903</v>
      </c>
    </row>
    <row r="85" spans="1:5" x14ac:dyDescent="0.35">
      <c r="A85" t="s">
        <v>147</v>
      </c>
      <c r="B85" t="s">
        <v>1003</v>
      </c>
      <c r="C85" t="s">
        <v>903</v>
      </c>
    </row>
    <row r="86" spans="1:5" x14ac:dyDescent="0.35">
      <c r="A86" t="s">
        <v>64</v>
      </c>
      <c r="B86" t="s">
        <v>943</v>
      </c>
      <c r="C86" t="s">
        <v>903</v>
      </c>
    </row>
    <row r="87" spans="1:5" x14ac:dyDescent="0.35">
      <c r="A87" t="s">
        <v>157</v>
      </c>
      <c r="B87" t="s">
        <v>1015</v>
      </c>
      <c r="C87" t="s">
        <v>903</v>
      </c>
    </row>
    <row r="88" spans="1:5" x14ac:dyDescent="0.35">
      <c r="A88" t="s">
        <v>946</v>
      </c>
      <c r="B88" t="s">
        <v>947</v>
      </c>
      <c r="C88" t="s">
        <v>906</v>
      </c>
      <c r="D88" t="s">
        <v>902</v>
      </c>
      <c r="E88" t="s">
        <v>543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F176-F572-4DB9-8D1B-CEC3618303CB}">
  <dimension ref="A1:H4"/>
  <sheetViews>
    <sheetView workbookViewId="0">
      <selection activeCell="A4" sqref="A4"/>
    </sheetView>
  </sheetViews>
  <sheetFormatPr defaultRowHeight="14.5" x14ac:dyDescent="0.35"/>
  <cols>
    <col min="2" max="2" width="15.453125" bestFit="1" customWidth="1"/>
  </cols>
  <sheetData>
    <row r="1" spans="1:8" x14ac:dyDescent="0.35">
      <c r="A1" t="s">
        <v>898</v>
      </c>
      <c r="B1" t="s">
        <v>1027</v>
      </c>
      <c r="C1" t="s">
        <v>1028</v>
      </c>
      <c r="D1" t="s">
        <v>1029</v>
      </c>
      <c r="E1" t="s">
        <v>1030</v>
      </c>
      <c r="F1" t="s">
        <v>1031</v>
      </c>
      <c r="G1" t="s">
        <v>1032</v>
      </c>
      <c r="H1" t="s">
        <v>1033</v>
      </c>
    </row>
    <row r="2" spans="1:8" x14ac:dyDescent="0.35">
      <c r="A2" t="s">
        <v>23</v>
      </c>
      <c r="B2" t="s">
        <v>1034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5">
      <c r="A3" t="s">
        <v>17</v>
      </c>
      <c r="B3" t="s">
        <v>1035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5">
      <c r="A4" t="s">
        <v>27</v>
      </c>
      <c r="B4" t="s">
        <v>1036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9AF38F-058E-4D7C-8490-2BD939A14F5A}"/>
</file>

<file path=customXml/itemProps2.xml><?xml version="1.0" encoding="utf-8"?>
<ds:datastoreItem xmlns:ds="http://schemas.openxmlformats.org/officeDocument/2006/customXml" ds:itemID="{41764DD9-1F63-404F-81C6-C52904243EF6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customXml/itemProps3.xml><?xml version="1.0" encoding="utf-8"?>
<ds:datastoreItem xmlns:ds="http://schemas.openxmlformats.org/officeDocument/2006/customXml" ds:itemID="{E6175281-B5A1-45E7-86EB-805338B616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Suppliers</vt:lpstr>
      <vt:lpstr>Zones</vt:lpstr>
      <vt:lpstr>SuppliersCategory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Hoyek</cp:lastModifiedBy>
  <dcterms:created xsi:type="dcterms:W3CDTF">2025-11-24T18:33:10Z</dcterms:created>
  <dcterms:modified xsi:type="dcterms:W3CDTF">2025-11-28T01:44:35Z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